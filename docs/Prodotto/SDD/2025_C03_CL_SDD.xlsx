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TM/Checklist/"/>
    </mc:Choice>
  </mc:AlternateContent>
  <xr:revisionPtr revIDLastSave="377" documentId="114_{2884637F-A333-49FD-8069-40C7DE9DD70C}" xr6:coauthVersionLast="47" xr6:coauthVersionMax="47" xr10:uidLastSave="{286C7C4A-D592-4768-A4BA-F56BCE0910E9}"/>
  <bookViews>
    <workbookView minimized="1" xWindow="2340" yWindow="2340" windowWidth="28800" windowHeight="15345" tabRatio="646" xr2:uid="{00000000-000D-0000-FFFF-FFFF00000000}"/>
  </bookViews>
  <sheets>
    <sheet name="Check-list SDD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I4" i="1"/>
  <c r="H4" i="1"/>
  <c r="G4" i="1"/>
  <c r="F4" i="1"/>
  <c r="F2" i="1"/>
  <c r="E2" i="1"/>
  <c r="J4" i="1"/>
  <c r="J2" i="1"/>
</calcChain>
</file>

<file path=xl/sharedStrings.xml><?xml version="1.0" encoding="utf-8"?>
<sst xmlns="http://schemas.openxmlformats.org/spreadsheetml/2006/main" count="86" uniqueCount="52">
  <si>
    <t>N° linee guida soddisfatte</t>
  </si>
  <si>
    <t>N° NA</t>
  </si>
  <si>
    <t>N° linee guida NON soddisfatte</t>
  </si>
  <si>
    <t>Controllo numero risposte</t>
  </si>
  <si>
    <t>Controllo percentuale</t>
  </si>
  <si>
    <r>
      <rPr>
        <b/>
        <sz val="11"/>
        <color rgb="FF000000"/>
        <rFont val="Arial"/>
        <family val="2"/>
      </rPr>
      <t>Nota Compilazione</t>
    </r>
    <r>
      <rPr>
        <sz val="11"/>
        <color rgb="FF000000"/>
        <rFont val="Arial"/>
        <family val="2"/>
      </rPr>
      <t>: Fornire le risposte (SI, NO, NA) cancellando le voci che non servono. Fai lo stesso per la percentuale. La percentuale si calcola stimando per quanti elementi non è soddisfatta. Si seleziona 70% se non è soddisfatta per almeno il 70%. Si seleziona 50% se non è non soddisfatta per almeno il 50% ma meno del 70%...</t>
    </r>
  </si>
  <si>
    <t>Check List SDD</t>
  </si>
  <si>
    <t>Progetto: Lumen</t>
  </si>
  <si>
    <t>Autori del controllo:
Alessandro Cigliano, Luca Afeltra, Felicia Riccio, Giovanni Di Rosa</t>
  </si>
  <si>
    <t>Versione Documento</t>
  </si>
  <si>
    <t>ID</t>
  </si>
  <si>
    <t>DESCRIZIONE</t>
  </si>
  <si>
    <t>Risposta</t>
  </si>
  <si>
    <t>Note (le note sono fondamentali per rendere agevole la revisione, sii preciso nelle indicazioni)</t>
  </si>
  <si>
    <t>Aspetti di carattere generale</t>
  </si>
  <si>
    <t>Il documento è strutturato in modo gerarchico, prevedendo capitoli, paragrafi e sottoparagrafi e tale strutturazione è correttamente evidenziata nell'Indice tramite rientri ed uso di fonts/stili differenti?</t>
  </si>
  <si>
    <t>SI</t>
  </si>
  <si>
    <t>L’Indice dei Contenuti è aggiornato, riportando le intestazioni di tutti i capitoli, paragrafi e sottoparagrafi presenti nel corpo del documento, puntando correttamente alle sezioni relative?</t>
  </si>
  <si>
    <t>Il documento recepisce gli aspetti sostanziali specificati come dichiarazione di intenti nel relativo standard (le sezioni contengono quanto dovrebbero contenere)? E sono stati trattati tutti gli aspetti del System Design ( allocazione Hw., memorizzazione persistente, boundary conditions...)?</t>
  </si>
  <si>
    <t>Il documento risulta correttamente impaginato?</t>
  </si>
  <si>
    <t>Il documento è redatto secondo uno stile piano e scorrevole, con uso prevalente della forma diretta, con periodi brevi e con proposizioni incidentali scarse o assenti?</t>
  </si>
  <si>
    <t>Il documento è consistente con gli altri deliverables di progetto correntemente disponibili</t>
  </si>
  <si>
    <t xml:space="preserve">Il documento è privo di errori sintattici, grammaticali e di formattazione (no doppi spazi, no spazi prima della punteggiatura, si spazi dopo la punteggiatura, ecc…)? </t>
  </si>
  <si>
    <t xml:space="preserve">Ogni concetto introdotto è stato definito nel Glossario? </t>
  </si>
  <si>
    <t>Il rationale per la scelta dell'architettura software è fornito? Sono stati indicati gli argomenti a favore e contrari? La scelta fatta è consistente con i design goal?</t>
  </si>
  <si>
    <t>Il rationale per la scelta del Mapping HW/SW è fornito? Sono stati indicati gli argomenti a favore e contrari? La scelta fatta è consistente con i design goal?</t>
  </si>
  <si>
    <t>Il rationale per la scelta della strategia della gestione dei Dati Persistenti è fornito? Sono stati indicati gli argomenti a favore e contrari? La scelta fatta è consistente con i design goal?</t>
  </si>
  <si>
    <t>Dettagli del Design</t>
  </si>
  <si>
    <t xml:space="preserve">Sono stati identificati e descritti gli obiettivi di Design? </t>
  </si>
  <si>
    <t xml:space="preserve">Sono stati individuati eventuali trade-off tra gli obiettivi indentificati? </t>
  </si>
  <si>
    <t>Tutti i design goal rispettano i requisiti non funzionali?</t>
  </si>
  <si>
    <t>Può ogni Design goal essere ricondotto a un requisito non funzionale o ad una esigenza di management?</t>
  </si>
  <si>
    <t>I Design Goal sono stati prioritizzati?</t>
  </si>
  <si>
    <t>I Design Goal sono realistici?</t>
  </si>
  <si>
    <t>Ogni requisito non funzionale è stato considerato ai fini dei Design Goal?</t>
  </si>
  <si>
    <t xml:space="preserve">È stata identificata e descritta l’architettura software del sistema? </t>
  </si>
  <si>
    <t>Il livello di accoppiamento tra i sottosistemi è adeguato rispetto ai design goal?</t>
  </si>
  <si>
    <t xml:space="preserve">L’architettura scelta fornisce sottosistemi coesi? </t>
  </si>
  <si>
    <t>È stato descritto lo scopo/responsabilità di ogni sottosistema 
  identificato mediante la descrizione?</t>
  </si>
  <si>
    <t>I sottosistemi sono stati descritti usando uno schema gerarchico?</t>
  </si>
  <si>
    <t>Può ogni sottosistema essere ricondotto almeno ad caso d’uso o a un requisito non funzionale?</t>
  </si>
  <si>
    <t>Ogni caso d’uso è mappato in un qualche sottosistema? Ogni oggetto del modello di analisi è mappato in un qualche sottosistema?</t>
  </si>
  <si>
    <t>I sottosistemi e le classi hanno nomi univoci?</t>
  </si>
  <si>
    <t>I nomi dei sottosistemi sono comprensibili e richiamano i servizi offerti?</t>
  </si>
  <si>
    <t>Per ogni sottosistema sono stati identificati e descritti i servizi forniti?</t>
  </si>
  <si>
    <t>Il mapping Hw./Sw. È stato descritto attraverso 
 appropriati diagrammi UML (deployment, component, ...)?</t>
  </si>
  <si>
    <t xml:space="preserve">E' descritta qual’è la configurazione hardware del sistema?
E'  chiaro di quali funzionalità è responsabile ogni nodo?
E' descritta come è gestita la comunicazione tra i nodi realizzati?
</t>
  </si>
  <si>
    <t>La comunicazione con le componenti legacy o off-the-shelf è stata trattata?</t>
  </si>
  <si>
    <t>È stata descritta la strategia per la gestione dei dati persistenti?</t>
  </si>
  <si>
    <t>Sono stati identificati i dati che saranno memorizzati nel DB?</t>
  </si>
  <si>
    <t>La strategia per la gestione dei dati persistenti soddisfa i design goal?</t>
  </si>
  <si>
    <t>E' fornito il modello dei dati (Modello ER/Modello Relazionale o analogo)? Il modello è completo (per es. per ogni attributo è indicato il tipo con il valore massimo, se è chiave primaria; se è un campo opzionale; se prevede un incremento automatico)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</si>
</sst>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b/>
      <sz val="16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libri"/>
      <charset val="134"/>
    </font>
    <font>
      <b/>
      <sz val="11"/>
      <color rgb="FF92D050"/>
      <name val="Calibri"/>
      <family val="2"/>
    </font>
    <font>
      <sz val="1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rgb="FFCCCCCC"/>
      </patternFill>
    </fill>
    <fill>
      <patternFill patternType="solid">
        <fgColor theme="6"/>
        <bgColor indexed="64"/>
      </patternFill>
    </fill>
    <fill>
      <patternFill patternType="solid">
        <fgColor rgb="FF9BBB5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81">
    <xf numFmtId="0" fontId="0" fillId="0" borderId="0" xfId="0"/>
    <xf numFmtId="0" fontId="1" fillId="0" borderId="0" xfId="0" applyFont="1"/>
    <xf numFmtId="0" fontId="4" fillId="3" borderId="4" xfId="0" applyFont="1" applyFill="1" applyBorder="1" applyAlignment="1">
      <alignment wrapText="1"/>
    </xf>
    <xf numFmtId="0" fontId="3" fillId="2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9" fontId="7" fillId="0" borderId="8" xfId="0" applyNumberFormat="1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2" borderId="6" xfId="0" applyFont="1" applyFill="1" applyBorder="1" applyAlignment="1">
      <alignment vertical="top" wrapText="1"/>
    </xf>
    <xf numFmtId="0" fontId="4" fillId="0" borderId="21" xfId="0" applyFont="1" applyBorder="1" applyAlignment="1">
      <alignment horizontal="center" wrapText="1"/>
    </xf>
    <xf numFmtId="0" fontId="2" fillId="0" borderId="22" xfId="0" applyFont="1" applyBorder="1"/>
    <xf numFmtId="0" fontId="8" fillId="0" borderId="6" xfId="0" applyFont="1" applyBorder="1" applyAlignment="1">
      <alignment horizontal="center" vertical="center"/>
    </xf>
    <xf numFmtId="9" fontId="4" fillId="3" borderId="4" xfId="0" applyNumberFormat="1" applyFont="1" applyFill="1" applyBorder="1" applyAlignment="1">
      <alignment horizontal="center" vertical="center" wrapText="1"/>
    </xf>
    <xf numFmtId="0" fontId="6" fillId="0" borderId="0" xfId="1"/>
    <xf numFmtId="9" fontId="4" fillId="3" borderId="4" xfId="1" applyNumberFormat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0" borderId="18" xfId="0" applyFont="1" applyBorder="1"/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0" fillId="6" borderId="0" xfId="0" applyFill="1"/>
    <xf numFmtId="0" fontId="5" fillId="0" borderId="6" xfId="0" applyFont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0" fontId="2" fillId="0" borderId="2" xfId="0" applyFont="1" applyBorder="1"/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2" fillId="4" borderId="20" xfId="0" applyFont="1" applyFill="1" applyBorder="1"/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5" borderId="1" xfId="0" applyFont="1" applyFill="1" applyBorder="1" applyAlignment="1">
      <alignment horizontal="left" vertical="center"/>
    </xf>
    <xf numFmtId="9" fontId="4" fillId="13" borderId="4" xfId="0" applyNumberFormat="1" applyFont="1" applyFill="1" applyBorder="1" applyAlignment="1">
      <alignment horizontal="center" vertical="center" wrapText="1"/>
    </xf>
    <xf numFmtId="9" fontId="4" fillId="12" borderId="4" xfId="0" applyNumberFormat="1" applyFont="1" applyFill="1" applyBorder="1" applyAlignment="1">
      <alignment horizontal="center" vertical="center" wrapText="1"/>
    </xf>
    <xf numFmtId="9" fontId="4" fillId="12" borderId="4" xfId="1" applyNumberFormat="1" applyFont="1" applyFill="1" applyBorder="1" applyAlignment="1">
      <alignment horizontal="center" vertical="center" wrapText="1"/>
    </xf>
    <xf numFmtId="0" fontId="0" fillId="0" borderId="0" xfId="1" applyFont="1"/>
    <xf numFmtId="9" fontId="4" fillId="4" borderId="4" xfId="0" applyNumberFormat="1" applyFont="1" applyFill="1" applyBorder="1" applyAlignment="1">
      <alignment horizontal="center" vertical="center" wrapText="1"/>
    </xf>
    <xf numFmtId="9" fontId="12" fillId="4" borderId="4" xfId="0" applyNumberFormat="1" applyFont="1" applyFill="1" applyBorder="1" applyAlignment="1">
      <alignment horizontal="center" vertical="center" wrapText="1"/>
    </xf>
    <xf numFmtId="9" fontId="4" fillId="13" borderId="4" xfId="1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1" borderId="5" xfId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10" borderId="5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8" borderId="5" xfId="1" applyFont="1" applyFill="1" applyBorder="1" applyAlignment="1">
      <alignment horizontal="center" vertical="center" wrapText="1"/>
    </xf>
    <xf numFmtId="0" fontId="5" fillId="9" borderId="5" xfId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4" fillId="3" borderId="25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2" borderId="7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center"/>
    </xf>
    <xf numFmtId="0" fontId="9" fillId="0" borderId="24" xfId="1" applyFont="1" applyBorder="1" applyAlignment="1">
      <alignment horizont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4" fillId="5" borderId="0" xfId="0" applyFont="1" applyFill="1" applyAlignment="1">
      <alignment horizontal="left" wrapText="1"/>
    </xf>
    <xf numFmtId="9" fontId="4" fillId="14" borderId="4" xfId="0" applyNumberFormat="1" applyFont="1" applyFill="1" applyBorder="1" applyAlignment="1">
      <alignment horizontal="center" vertical="center" wrapText="1"/>
    </xf>
    <xf numFmtId="9" fontId="12" fillId="14" borderId="4" xfId="0" applyNumberFormat="1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I86"/>
  <sheetViews>
    <sheetView tabSelected="1" topLeftCell="A26" zoomScale="70" zoomScaleNormal="70" workbookViewId="0">
      <selection activeCell="H33" sqref="H33"/>
    </sheetView>
  </sheetViews>
  <sheetFormatPr defaultColWidth="14.42578125" defaultRowHeight="15.75" customHeight="1"/>
  <cols>
    <col min="3" max="3" width="6.28515625" customWidth="1"/>
    <col min="4" max="4" width="68.7109375" customWidth="1"/>
    <col min="5" max="5" width="6.140625" customWidth="1"/>
    <col min="8" max="8" width="14" customWidth="1"/>
    <col min="9" max="9" width="16" customWidth="1"/>
    <col min="10" max="10" width="73.7109375" bestFit="1" customWidth="1"/>
  </cols>
  <sheetData>
    <row r="1" spans="2:10" ht="38.25" customHeight="1" thickTop="1">
      <c r="B1" s="38"/>
      <c r="C1" s="38"/>
      <c r="D1" s="29" t="s">
        <v>0</v>
      </c>
      <c r="E1" s="30" t="s">
        <v>1</v>
      </c>
      <c r="F1" s="62" t="s">
        <v>2</v>
      </c>
      <c r="G1" s="62"/>
      <c r="H1" s="62"/>
      <c r="I1" s="62"/>
      <c r="J1" s="31" t="s">
        <v>3</v>
      </c>
    </row>
    <row r="2" spans="2:10" ht="12.75">
      <c r="B2" s="38"/>
      <c r="C2" s="38"/>
      <c r="D2" s="7">
        <f>COUNTIF(E15:E86, "SI")</f>
        <v>35</v>
      </c>
      <c r="E2" s="5">
        <f>COUNTIF(E15:E86, "NA")</f>
        <v>0</v>
      </c>
      <c r="F2" s="63">
        <f>COUNTIF(F15:I86, "NO")</f>
        <v>0</v>
      </c>
      <c r="G2" s="63"/>
      <c r="H2" s="63"/>
      <c r="I2" s="63"/>
      <c r="J2" s="8" t="str">
        <f>_xlfn.SINGLE(IF((D2+E2+F2)=53, "OK", "Controlla se hai cancellato tutte le voci che non servono e se hai dato tutte le risposte"))</f>
        <v>Controlla se hai cancellato tutte le voci che non servono e se hai dato tutte le risposte</v>
      </c>
    </row>
    <row r="3" spans="2:10" ht="15.75" customHeight="1">
      <c r="D3" s="9"/>
      <c r="F3" s="6">
        <v>0.1</v>
      </c>
      <c r="G3" s="6">
        <v>0.3</v>
      </c>
      <c r="H3" s="6">
        <v>0.5</v>
      </c>
      <c r="I3" s="6">
        <v>0.7</v>
      </c>
      <c r="J3" s="32" t="s">
        <v>4</v>
      </c>
    </row>
    <row r="4" spans="2:10" ht="15.75" customHeight="1" thickBot="1">
      <c r="D4" s="10"/>
      <c r="E4" s="11"/>
      <c r="F4" s="12">
        <f>COUNTIF(F15:I86, F3)</f>
        <v>0</v>
      </c>
      <c r="G4" s="12">
        <f>COUNTIF(F15:I86, G3)</f>
        <v>0</v>
      </c>
      <c r="H4" s="12">
        <f>COUNTIF(F15:I86, H3)</f>
        <v>0</v>
      </c>
      <c r="I4" s="21">
        <f>COUNTIF(F15:I86, I3)</f>
        <v>0</v>
      </c>
      <c r="J4" s="8" t="str">
        <f>_xlfn.SINGLE(IF((F4+G4+H4)=(F2), "OK", "Controlla se hai cancellato tutte le voci che non servono"))</f>
        <v>OK</v>
      </c>
    </row>
    <row r="5" spans="2:10" ht="15.75" customHeight="1" thickTop="1"/>
    <row r="6" spans="2:10" ht="50.25" customHeight="1">
      <c r="D6" s="72" t="s">
        <v>5</v>
      </c>
      <c r="E6" s="72"/>
      <c r="F6" s="72"/>
      <c r="G6" s="72"/>
      <c r="H6" s="72"/>
      <c r="I6" s="72"/>
    </row>
    <row r="8" spans="2:10" ht="20.25">
      <c r="D8" s="1" t="s">
        <v>6</v>
      </c>
    </row>
    <row r="9" spans="2:10" ht="12.75">
      <c r="B9" s="38"/>
      <c r="C9" s="38"/>
      <c r="D9" s="38"/>
      <c r="E9" s="38"/>
      <c r="F9" s="38"/>
      <c r="G9" s="38"/>
      <c r="H9" s="38"/>
      <c r="I9" s="38"/>
      <c r="J9" s="38"/>
    </row>
    <row r="10" spans="2:10" ht="60" customHeight="1">
      <c r="B10" s="38"/>
      <c r="C10" s="70" t="s">
        <v>7</v>
      </c>
      <c r="D10" s="70"/>
      <c r="E10" s="68" t="s">
        <v>8</v>
      </c>
      <c r="F10" s="68"/>
      <c r="G10" s="68"/>
      <c r="H10" s="68"/>
      <c r="I10" s="68"/>
      <c r="J10" s="2"/>
    </row>
    <row r="11" spans="2:10" ht="13.5" customHeight="1">
      <c r="B11" s="38"/>
      <c r="C11" s="67" t="s">
        <v>9</v>
      </c>
      <c r="D11" s="67"/>
      <c r="E11" s="33"/>
      <c r="F11" s="77"/>
      <c r="G11" s="77"/>
      <c r="H11" s="77"/>
      <c r="I11" s="77"/>
      <c r="J11" s="28"/>
    </row>
    <row r="12" spans="2:10" ht="13.5" thickTop="1">
      <c r="B12" s="38"/>
      <c r="C12" s="13"/>
      <c r="D12" s="13"/>
      <c r="E12" s="69"/>
      <c r="F12" s="69"/>
      <c r="G12" s="69"/>
      <c r="H12" s="69"/>
      <c r="I12" s="69"/>
      <c r="J12" s="3"/>
    </row>
    <row r="13" spans="2:10" ht="30">
      <c r="B13" s="38"/>
      <c r="C13" s="4" t="s">
        <v>10</v>
      </c>
      <c r="D13" s="4" t="s">
        <v>11</v>
      </c>
      <c r="E13" s="64" t="s">
        <v>12</v>
      </c>
      <c r="F13" s="64"/>
      <c r="G13" s="64"/>
      <c r="H13" s="64"/>
      <c r="I13" s="64"/>
      <c r="J13" s="4" t="s">
        <v>13</v>
      </c>
    </row>
    <row r="14" spans="2:10" ht="24.6" customHeight="1">
      <c r="B14" s="38"/>
      <c r="C14" s="14"/>
      <c r="D14" s="78" t="s">
        <v>14</v>
      </c>
      <c r="E14" s="78"/>
      <c r="F14" s="78"/>
      <c r="G14" s="78"/>
      <c r="H14" s="78"/>
      <c r="I14" s="78"/>
      <c r="J14" s="78"/>
    </row>
    <row r="15" spans="2:10" ht="24" customHeight="1">
      <c r="B15" s="38"/>
      <c r="C15" s="50">
        <v>1</v>
      </c>
      <c r="D15" s="66" t="s">
        <v>15</v>
      </c>
      <c r="E15" s="47" t="s">
        <v>16</v>
      </c>
      <c r="F15" s="65"/>
      <c r="G15" s="65"/>
      <c r="H15" s="65"/>
      <c r="I15" s="65"/>
      <c r="J15" s="50"/>
    </row>
    <row r="16" spans="2:10" ht="31.9" customHeight="1">
      <c r="C16" s="50"/>
      <c r="D16" s="66"/>
      <c r="E16" s="36"/>
      <c r="F16" s="17"/>
      <c r="G16" s="17"/>
      <c r="H16" s="17"/>
      <c r="I16" s="40"/>
      <c r="J16" s="50"/>
    </row>
    <row r="17" spans="2:10" ht="43.15" customHeight="1">
      <c r="B17" s="38"/>
      <c r="C17" s="50">
        <v>2</v>
      </c>
      <c r="D17" s="66" t="s">
        <v>17</v>
      </c>
      <c r="E17" s="34" t="s">
        <v>16</v>
      </c>
      <c r="F17" s="49"/>
      <c r="G17" s="49"/>
      <c r="H17" s="49"/>
      <c r="I17" s="49"/>
      <c r="J17" s="50"/>
    </row>
    <row r="18" spans="2:10" ht="42.6" customHeight="1">
      <c r="B18" s="38"/>
      <c r="C18" s="75"/>
      <c r="D18" s="76"/>
      <c r="E18" s="26"/>
      <c r="F18" s="17"/>
      <c r="G18" s="17"/>
      <c r="H18" s="17"/>
      <c r="I18" s="40"/>
      <c r="J18" s="50"/>
    </row>
    <row r="19" spans="2:10" ht="37.9" customHeight="1">
      <c r="B19" s="38"/>
      <c r="C19" s="50">
        <v>3</v>
      </c>
      <c r="D19" s="73" t="s">
        <v>18</v>
      </c>
      <c r="E19" s="34" t="s">
        <v>16</v>
      </c>
      <c r="F19" s="49"/>
      <c r="G19" s="49"/>
      <c r="H19" s="49"/>
      <c r="I19" s="49"/>
      <c r="J19" s="35"/>
    </row>
    <row r="20" spans="2:10" ht="55.9" customHeight="1">
      <c r="B20" s="38"/>
      <c r="C20" s="50"/>
      <c r="D20" s="73"/>
      <c r="E20" s="26"/>
      <c r="F20" s="17"/>
      <c r="G20" s="17"/>
      <c r="H20" s="17"/>
      <c r="I20" s="40"/>
      <c r="J20" s="37"/>
    </row>
    <row r="21" spans="2:10" ht="60" customHeight="1">
      <c r="B21" s="38"/>
      <c r="C21" s="50">
        <v>4</v>
      </c>
      <c r="D21" s="73" t="s">
        <v>19</v>
      </c>
      <c r="E21" s="34" t="s">
        <v>16</v>
      </c>
      <c r="F21" s="49"/>
      <c r="G21" s="49"/>
      <c r="H21" s="49"/>
      <c r="I21" s="49"/>
      <c r="J21" s="50"/>
    </row>
    <row r="22" spans="2:10" ht="50.25" customHeight="1">
      <c r="B22" s="38"/>
      <c r="C22" s="50"/>
      <c r="D22" s="73"/>
      <c r="E22" s="26"/>
      <c r="F22" s="17"/>
      <c r="G22" s="17"/>
      <c r="H22" s="45"/>
      <c r="I22" s="40"/>
      <c r="J22" s="50"/>
    </row>
    <row r="23" spans="2:10" ht="38.25" customHeight="1">
      <c r="B23" s="38"/>
      <c r="C23" s="50">
        <v>5</v>
      </c>
      <c r="D23" s="73" t="s">
        <v>20</v>
      </c>
      <c r="E23" s="34" t="s">
        <v>16</v>
      </c>
      <c r="F23" s="49"/>
      <c r="G23" s="49"/>
      <c r="H23" s="49"/>
      <c r="I23" s="49"/>
      <c r="J23" s="50"/>
    </row>
    <row r="24" spans="2:10" ht="51" customHeight="1">
      <c r="B24" s="38"/>
      <c r="C24" s="50"/>
      <c r="D24" s="73"/>
      <c r="E24" s="26"/>
      <c r="F24" s="17"/>
      <c r="G24" s="17"/>
      <c r="H24" s="17"/>
      <c r="I24" s="40"/>
      <c r="J24" s="50"/>
    </row>
    <row r="25" spans="2:10" ht="25.9" customHeight="1">
      <c r="B25" s="38"/>
      <c r="C25" s="50">
        <v>6</v>
      </c>
      <c r="D25" s="73" t="s">
        <v>21</v>
      </c>
      <c r="E25" s="34" t="s">
        <v>16</v>
      </c>
      <c r="F25" s="49"/>
      <c r="G25" s="49"/>
      <c r="H25" s="49"/>
      <c r="I25" s="49"/>
      <c r="J25" s="50"/>
    </row>
    <row r="26" spans="2:10" ht="38.450000000000003" customHeight="1">
      <c r="B26" s="38"/>
      <c r="C26" s="50"/>
      <c r="D26" s="73"/>
      <c r="E26" s="16"/>
      <c r="F26" s="17"/>
      <c r="G26" s="17"/>
      <c r="H26" s="17"/>
      <c r="I26" s="40"/>
      <c r="J26" s="50"/>
    </row>
    <row r="27" spans="2:10" ht="18.600000000000001" customHeight="1">
      <c r="B27" s="38"/>
      <c r="C27" s="50">
        <v>7</v>
      </c>
      <c r="D27" s="73" t="s">
        <v>22</v>
      </c>
      <c r="E27" s="34" t="s">
        <v>16</v>
      </c>
      <c r="F27" s="49"/>
      <c r="G27" s="49"/>
      <c r="H27" s="49"/>
      <c r="I27" s="49"/>
      <c r="J27" s="50"/>
    </row>
    <row r="28" spans="2:10" ht="58.9" customHeight="1">
      <c r="B28" s="38"/>
      <c r="C28" s="50"/>
      <c r="D28" s="73"/>
      <c r="E28" s="26"/>
      <c r="F28" s="17"/>
      <c r="G28" s="44"/>
      <c r="H28" s="17"/>
      <c r="I28" s="79"/>
      <c r="J28" s="50"/>
    </row>
    <row r="29" spans="2:10" ht="21" customHeight="1">
      <c r="B29" s="38"/>
      <c r="C29" s="50">
        <v>8</v>
      </c>
      <c r="D29" s="66" t="s">
        <v>23</v>
      </c>
      <c r="E29" s="34" t="s">
        <v>16</v>
      </c>
      <c r="F29" s="49"/>
      <c r="G29" s="49"/>
      <c r="H29" s="49"/>
      <c r="I29" s="49"/>
      <c r="J29" s="50"/>
    </row>
    <row r="30" spans="2:10" ht="20.45" customHeight="1">
      <c r="B30" s="38"/>
      <c r="C30" s="50"/>
      <c r="D30" s="66"/>
      <c r="E30" s="16"/>
      <c r="F30" s="17"/>
      <c r="G30" s="17"/>
      <c r="H30" s="17"/>
      <c r="I30" s="80"/>
      <c r="J30" s="50"/>
    </row>
    <row r="31" spans="2:10" ht="15.75" customHeight="1">
      <c r="C31" s="15"/>
      <c r="D31" s="71"/>
      <c r="E31" s="71"/>
      <c r="F31" s="71"/>
      <c r="G31" s="71"/>
      <c r="H31" s="71"/>
      <c r="I31" s="71"/>
      <c r="J31" s="71"/>
    </row>
    <row r="32" spans="2:10" ht="70.150000000000006" customHeight="1">
      <c r="C32" s="50">
        <v>9</v>
      </c>
      <c r="D32" s="59" t="s">
        <v>24</v>
      </c>
      <c r="E32" s="34" t="s">
        <v>16</v>
      </c>
      <c r="F32" s="49"/>
      <c r="G32" s="49"/>
      <c r="H32" s="49"/>
      <c r="I32" s="49"/>
      <c r="J32" s="50"/>
    </row>
    <row r="33" spans="2:10" ht="93" customHeight="1">
      <c r="C33" s="50"/>
      <c r="D33" s="59"/>
      <c r="E33" s="26"/>
      <c r="F33" s="17"/>
      <c r="G33" s="17"/>
      <c r="H33" s="41"/>
      <c r="I33" s="17"/>
      <c r="J33" s="50"/>
    </row>
    <row r="34" spans="2:10" ht="70.150000000000006" customHeight="1">
      <c r="C34" s="50">
        <v>10</v>
      </c>
      <c r="D34" s="59" t="s">
        <v>25</v>
      </c>
      <c r="E34" s="34" t="s">
        <v>16</v>
      </c>
      <c r="F34" s="49"/>
      <c r="G34" s="49"/>
      <c r="H34" s="49"/>
      <c r="I34" s="49"/>
      <c r="J34" s="50"/>
    </row>
    <row r="35" spans="2:10" ht="93" customHeight="1">
      <c r="C35" s="50"/>
      <c r="D35" s="59"/>
      <c r="E35" s="26"/>
      <c r="F35" s="17"/>
      <c r="G35" s="17"/>
      <c r="H35" s="41"/>
      <c r="I35" s="17"/>
      <c r="J35" s="50"/>
    </row>
    <row r="36" spans="2:10" ht="70.150000000000006" customHeight="1">
      <c r="C36" s="50">
        <v>11</v>
      </c>
      <c r="D36" s="59" t="s">
        <v>26</v>
      </c>
      <c r="E36" s="34" t="s">
        <v>16</v>
      </c>
      <c r="F36" s="49"/>
      <c r="G36" s="49"/>
      <c r="H36" s="49"/>
      <c r="I36" s="49"/>
      <c r="J36" s="50"/>
    </row>
    <row r="37" spans="2:10" ht="93" customHeight="1">
      <c r="C37" s="50"/>
      <c r="D37" s="59"/>
      <c r="E37" s="26"/>
      <c r="F37" s="17"/>
      <c r="G37" s="17"/>
      <c r="H37" s="41"/>
      <c r="I37" s="17"/>
      <c r="J37" s="50"/>
    </row>
    <row r="38" spans="2:10" ht="17.25" customHeight="1">
      <c r="C38" s="24"/>
      <c r="D38" s="39" t="s">
        <v>27</v>
      </c>
      <c r="E38" s="22"/>
      <c r="F38" s="22"/>
      <c r="G38" s="22"/>
      <c r="H38" s="22"/>
      <c r="I38" s="22"/>
      <c r="J38" s="23"/>
    </row>
    <row r="39" spans="2:10" ht="17.25" customHeight="1">
      <c r="B39" s="38"/>
      <c r="C39" s="50">
        <v>12</v>
      </c>
      <c r="D39" s="74" t="s">
        <v>28</v>
      </c>
      <c r="E39" s="20" t="s">
        <v>16</v>
      </c>
      <c r="F39" s="65"/>
      <c r="G39" s="65"/>
      <c r="H39" s="65"/>
      <c r="I39" s="65"/>
      <c r="J39" s="48"/>
    </row>
    <row r="40" spans="2:10" ht="19.899999999999999" customHeight="1">
      <c r="C40" s="50"/>
      <c r="D40" s="74"/>
      <c r="E40" s="20"/>
      <c r="F40" s="17"/>
      <c r="G40" s="17"/>
      <c r="H40" s="17"/>
      <c r="I40" s="40"/>
      <c r="J40" s="48"/>
    </row>
    <row r="41" spans="2:10" ht="22.9" customHeight="1">
      <c r="B41" s="38"/>
      <c r="C41" s="50">
        <v>13</v>
      </c>
      <c r="D41" s="74" t="s">
        <v>29</v>
      </c>
      <c r="E41" s="20" t="s">
        <v>16</v>
      </c>
      <c r="F41" s="49"/>
      <c r="G41" s="49"/>
      <c r="H41" s="49"/>
      <c r="I41" s="49"/>
      <c r="J41" s="48"/>
    </row>
    <row r="42" spans="2:10" ht="32.25" customHeight="1">
      <c r="B42" s="38"/>
      <c r="C42" s="50"/>
      <c r="D42" s="74"/>
      <c r="E42" s="20"/>
      <c r="F42" s="17"/>
      <c r="G42" s="17"/>
      <c r="H42" s="17"/>
      <c r="I42" s="40"/>
      <c r="J42" s="48"/>
    </row>
    <row r="43" spans="2:10" s="18" customFormat="1" ht="15" customHeight="1">
      <c r="B43" s="27"/>
      <c r="C43" s="50">
        <v>14</v>
      </c>
      <c r="D43" s="60" t="s">
        <v>30</v>
      </c>
      <c r="E43" s="20" t="s">
        <v>16</v>
      </c>
      <c r="F43" s="58"/>
      <c r="G43" s="58"/>
      <c r="H43" s="58"/>
      <c r="I43" s="58"/>
      <c r="J43" s="57"/>
    </row>
    <row r="44" spans="2:10" s="18" customFormat="1" ht="15" customHeight="1">
      <c r="C44" s="50"/>
      <c r="D44" s="60"/>
      <c r="E44" s="20"/>
      <c r="F44" s="19"/>
      <c r="G44" s="19"/>
      <c r="H44" s="19"/>
      <c r="I44" s="46"/>
      <c r="J44" s="57"/>
    </row>
    <row r="45" spans="2:10" s="18" customFormat="1" ht="13.5" customHeight="1">
      <c r="B45" s="27"/>
      <c r="C45" s="50">
        <v>15</v>
      </c>
      <c r="D45" s="60" t="s">
        <v>31</v>
      </c>
      <c r="E45" s="20" t="s">
        <v>16</v>
      </c>
      <c r="F45" s="58"/>
      <c r="G45" s="58"/>
      <c r="H45" s="58"/>
      <c r="I45" s="58"/>
      <c r="J45" s="57"/>
    </row>
    <row r="46" spans="2:10" s="18" customFormat="1" ht="36.75" customHeight="1">
      <c r="C46" s="50"/>
      <c r="D46" s="60"/>
      <c r="E46" s="20"/>
      <c r="F46" s="19"/>
      <c r="G46" s="19"/>
      <c r="H46" s="19"/>
      <c r="I46" s="46"/>
      <c r="J46" s="57"/>
    </row>
    <row r="47" spans="2:10" s="43" customFormat="1" ht="30.75" customHeight="1">
      <c r="B47" s="27"/>
      <c r="C47" s="50">
        <v>16</v>
      </c>
      <c r="D47" s="61" t="s">
        <v>32</v>
      </c>
      <c r="E47" s="20" t="s">
        <v>16</v>
      </c>
      <c r="F47" s="55"/>
      <c r="G47" s="55"/>
      <c r="H47" s="55"/>
      <c r="I47" s="55"/>
      <c r="J47" s="57"/>
    </row>
    <row r="48" spans="2:10" s="43" customFormat="1" ht="33" customHeight="1">
      <c r="B48" s="27"/>
      <c r="C48" s="50"/>
      <c r="D48" s="61"/>
      <c r="E48" s="20"/>
      <c r="F48" s="19"/>
      <c r="G48" s="19"/>
      <c r="H48" s="19"/>
      <c r="I48" s="42"/>
      <c r="J48" s="57"/>
    </row>
    <row r="49" spans="2:10" s="18" customFormat="1" ht="30.75" customHeight="1">
      <c r="B49" s="27"/>
      <c r="C49" s="50">
        <v>17</v>
      </c>
      <c r="D49" s="61" t="s">
        <v>33</v>
      </c>
      <c r="E49" s="20" t="s">
        <v>16</v>
      </c>
      <c r="F49" s="55"/>
      <c r="G49" s="55"/>
      <c r="H49" s="55"/>
      <c r="I49" s="55"/>
      <c r="J49" s="57"/>
    </row>
    <row r="50" spans="2:10" s="18" customFormat="1" ht="33" customHeight="1">
      <c r="B50" s="27"/>
      <c r="C50" s="50"/>
      <c r="D50" s="61"/>
      <c r="E50" s="20"/>
      <c r="F50" s="19"/>
      <c r="G50" s="19"/>
      <c r="H50" s="19"/>
      <c r="I50" s="46"/>
      <c r="J50" s="57"/>
    </row>
    <row r="51" spans="2:10" s="18" customFormat="1" ht="30.75" customHeight="1">
      <c r="B51" s="27"/>
      <c r="C51" s="50">
        <v>18</v>
      </c>
      <c r="D51" s="61" t="s">
        <v>34</v>
      </c>
      <c r="E51" s="20" t="s">
        <v>16</v>
      </c>
      <c r="F51" s="55"/>
      <c r="G51" s="55"/>
      <c r="H51" s="55"/>
      <c r="I51" s="55"/>
      <c r="J51" s="57"/>
    </row>
    <row r="52" spans="2:10" s="18" customFormat="1" ht="33" customHeight="1">
      <c r="B52" s="27"/>
      <c r="C52" s="50"/>
      <c r="D52" s="61"/>
      <c r="E52" s="20"/>
      <c r="F52" s="19"/>
      <c r="G52" s="19"/>
      <c r="H52" s="19"/>
      <c r="I52" s="46"/>
      <c r="J52" s="57"/>
    </row>
    <row r="53" spans="2:10" ht="16.899999999999999" customHeight="1">
      <c r="B53" s="38"/>
      <c r="C53" s="50">
        <v>19</v>
      </c>
      <c r="D53" s="52" t="s">
        <v>35</v>
      </c>
      <c r="E53" s="20" t="s">
        <v>16</v>
      </c>
      <c r="F53" s="49"/>
      <c r="G53" s="49"/>
      <c r="H53" s="49"/>
      <c r="I53" s="49"/>
      <c r="J53" s="48"/>
    </row>
    <row r="54" spans="2:10" ht="15">
      <c r="B54" s="38"/>
      <c r="C54" s="50"/>
      <c r="D54" s="52"/>
      <c r="E54" s="20"/>
      <c r="F54" s="17"/>
      <c r="G54" s="17"/>
      <c r="H54" s="17"/>
      <c r="I54" s="40"/>
      <c r="J54" s="48"/>
    </row>
    <row r="55" spans="2:10" ht="22.9" customHeight="1">
      <c r="B55" s="38"/>
      <c r="C55" s="50">
        <v>20</v>
      </c>
      <c r="D55" s="52" t="s">
        <v>36</v>
      </c>
      <c r="E55" s="20" t="s">
        <v>16</v>
      </c>
      <c r="F55" s="49"/>
      <c r="G55" s="49"/>
      <c r="H55" s="49"/>
      <c r="I55" s="49"/>
      <c r="J55" s="48"/>
    </row>
    <row r="56" spans="2:10" ht="15">
      <c r="B56" s="38"/>
      <c r="C56" s="50"/>
      <c r="D56" s="52"/>
      <c r="E56" s="20"/>
      <c r="F56" s="17"/>
      <c r="G56" s="17"/>
      <c r="H56" s="17"/>
      <c r="I56" s="40"/>
      <c r="J56" s="48"/>
    </row>
    <row r="57" spans="2:10" ht="21" customHeight="1">
      <c r="B57" s="38"/>
      <c r="C57" s="50">
        <v>21</v>
      </c>
      <c r="D57" s="52" t="s">
        <v>37</v>
      </c>
      <c r="E57" s="20" t="s">
        <v>16</v>
      </c>
      <c r="F57" s="49"/>
      <c r="G57" s="49"/>
      <c r="H57" s="49"/>
      <c r="I57" s="49"/>
      <c r="J57" s="48"/>
    </row>
    <row r="58" spans="2:10" ht="15">
      <c r="B58" s="38"/>
      <c r="C58" s="50"/>
      <c r="D58" s="52"/>
      <c r="E58" s="20"/>
      <c r="F58" s="17"/>
      <c r="G58" s="17"/>
      <c r="H58" s="17"/>
      <c r="I58" s="40"/>
      <c r="J58" s="48"/>
    </row>
    <row r="59" spans="2:10" ht="27.6" customHeight="1">
      <c r="B59" s="38"/>
      <c r="C59" s="50">
        <v>22</v>
      </c>
      <c r="D59" s="52" t="s">
        <v>38</v>
      </c>
      <c r="E59" s="20" t="s">
        <v>16</v>
      </c>
      <c r="F59" s="49"/>
      <c r="G59" s="49"/>
      <c r="H59" s="49"/>
      <c r="I59" s="49"/>
      <c r="J59" s="48"/>
    </row>
    <row r="60" spans="2:10" ht="15">
      <c r="B60" s="38"/>
      <c r="C60" s="50"/>
      <c r="D60" s="52"/>
      <c r="E60" s="20"/>
      <c r="F60" s="17"/>
      <c r="G60" s="17"/>
      <c r="H60" s="17"/>
      <c r="I60" s="41"/>
      <c r="J60" s="48"/>
    </row>
    <row r="61" spans="2:10" ht="15" customHeight="1">
      <c r="B61" s="38"/>
      <c r="C61" s="50">
        <v>23</v>
      </c>
      <c r="D61" s="54" t="s">
        <v>39</v>
      </c>
      <c r="E61" s="20" t="s">
        <v>16</v>
      </c>
      <c r="F61" s="49"/>
      <c r="G61" s="49"/>
      <c r="H61" s="49"/>
      <c r="I61" s="49"/>
      <c r="J61" s="48"/>
    </row>
    <row r="62" spans="2:10" ht="16.5" customHeight="1">
      <c r="B62" s="38"/>
      <c r="C62" s="50"/>
      <c r="D62" s="54"/>
      <c r="E62" s="20"/>
      <c r="F62" s="17"/>
      <c r="G62" s="17"/>
      <c r="H62" s="17"/>
      <c r="I62" s="41"/>
      <c r="J62" s="48"/>
    </row>
    <row r="63" spans="2:10" s="18" customFormat="1" ht="24.75" customHeight="1">
      <c r="B63" s="27"/>
      <c r="C63" s="50">
        <v>24</v>
      </c>
      <c r="D63" s="53" t="s">
        <v>40</v>
      </c>
      <c r="E63" s="20" t="s">
        <v>16</v>
      </c>
      <c r="F63" s="55"/>
      <c r="G63" s="55"/>
      <c r="H63" s="55"/>
      <c r="I63" s="55"/>
      <c r="J63" s="57"/>
    </row>
    <row r="64" spans="2:10" s="18" customFormat="1" ht="15">
      <c r="B64" s="27"/>
      <c r="C64" s="50"/>
      <c r="D64" s="53"/>
      <c r="E64" s="20"/>
      <c r="F64" s="19"/>
      <c r="G64" s="19"/>
      <c r="H64" s="19"/>
      <c r="I64" s="42"/>
      <c r="J64" s="57"/>
    </row>
    <row r="65" spans="1:321" s="18" customFormat="1" ht="13.5" customHeight="1">
      <c r="B65" s="27"/>
      <c r="C65" s="50">
        <v>25</v>
      </c>
      <c r="D65" s="53" t="s">
        <v>41</v>
      </c>
      <c r="E65" s="20" t="s">
        <v>16</v>
      </c>
      <c r="F65" s="58"/>
      <c r="G65" s="58"/>
      <c r="H65" s="58"/>
      <c r="I65" s="58"/>
      <c r="J65" s="57"/>
    </row>
    <row r="66" spans="1:321" s="18" customFormat="1" ht="24" customHeight="1">
      <c r="C66" s="50"/>
      <c r="D66" s="53"/>
      <c r="E66" s="20"/>
      <c r="F66" s="19"/>
      <c r="G66" s="19"/>
      <c r="H66" s="19"/>
      <c r="I66" s="46"/>
      <c r="J66" s="57"/>
    </row>
    <row r="67" spans="1:321" s="18" customFormat="1" ht="24.75" customHeight="1">
      <c r="B67" s="27"/>
      <c r="C67" s="50">
        <v>26</v>
      </c>
      <c r="D67" s="53" t="s">
        <v>42</v>
      </c>
      <c r="E67" s="20" t="s">
        <v>16</v>
      </c>
      <c r="F67" s="55"/>
      <c r="G67" s="55"/>
      <c r="H67" s="55"/>
      <c r="I67" s="55"/>
      <c r="J67" s="57"/>
    </row>
    <row r="68" spans="1:321" s="18" customFormat="1" ht="15">
      <c r="B68" s="27"/>
      <c r="C68" s="50"/>
      <c r="D68" s="53"/>
      <c r="E68" s="20"/>
      <c r="F68" s="19"/>
      <c r="G68" s="19"/>
      <c r="H68" s="19"/>
      <c r="I68" s="42"/>
      <c r="J68" s="57"/>
    </row>
    <row r="69" spans="1:321" s="18" customFormat="1" ht="13.5" customHeight="1">
      <c r="B69" s="27"/>
      <c r="C69" s="50">
        <v>27</v>
      </c>
      <c r="D69" s="56" t="s">
        <v>43</v>
      </c>
      <c r="E69" s="20" t="s">
        <v>16</v>
      </c>
      <c r="F69" s="55"/>
      <c r="G69" s="55"/>
      <c r="H69" s="55"/>
      <c r="I69" s="55"/>
      <c r="J69" s="57"/>
    </row>
    <row r="70" spans="1:321" s="18" customFormat="1" ht="30" customHeight="1">
      <c r="B70" s="27"/>
      <c r="C70" s="50"/>
      <c r="D70" s="56"/>
      <c r="E70" s="20"/>
      <c r="F70" s="19"/>
      <c r="G70" s="19"/>
      <c r="H70" s="19"/>
      <c r="I70" s="42"/>
      <c r="J70" s="57"/>
    </row>
    <row r="71" spans="1:321" s="25" customFormat="1" ht="15.75" customHeight="1">
      <c r="A71"/>
      <c r="B71" s="38"/>
      <c r="C71" s="50">
        <v>28</v>
      </c>
      <c r="D71" s="54" t="s">
        <v>44</v>
      </c>
      <c r="E71" s="20" t="s">
        <v>16</v>
      </c>
      <c r="F71" s="49"/>
      <c r="G71" s="49"/>
      <c r="H71" s="49"/>
      <c r="I71" s="49"/>
      <c r="J71" s="48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</row>
    <row r="72" spans="1:321" s="25" customFormat="1" ht="15.75" customHeight="1">
      <c r="A72"/>
      <c r="B72" s="38"/>
      <c r="C72" s="50"/>
      <c r="D72" s="54"/>
      <c r="E72" s="20"/>
      <c r="F72" s="17"/>
      <c r="G72" s="17"/>
      <c r="H72" s="17"/>
      <c r="I72" s="40"/>
      <c r="J72" s="48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</row>
    <row r="73" spans="1:321" ht="27" customHeight="1">
      <c r="B73" s="38"/>
      <c r="C73" s="50">
        <v>29</v>
      </c>
      <c r="D73" s="51" t="s">
        <v>45</v>
      </c>
      <c r="E73" s="20" t="s">
        <v>16</v>
      </c>
      <c r="F73" s="49"/>
      <c r="G73" s="49"/>
      <c r="H73" s="49"/>
      <c r="I73" s="49"/>
      <c r="J73" s="48"/>
    </row>
    <row r="74" spans="1:321" ht="21" customHeight="1">
      <c r="B74" s="38"/>
      <c r="C74" s="50"/>
      <c r="D74" s="51"/>
      <c r="E74" s="20"/>
      <c r="F74" s="17"/>
      <c r="G74" s="17"/>
      <c r="H74" s="17"/>
      <c r="I74" s="41"/>
      <c r="J74" s="48"/>
    </row>
    <row r="75" spans="1:321" ht="27" customHeight="1">
      <c r="B75" s="38"/>
      <c r="C75" s="50">
        <v>30</v>
      </c>
      <c r="D75" s="51" t="s">
        <v>46</v>
      </c>
      <c r="E75" s="20" t="s">
        <v>16</v>
      </c>
      <c r="F75" s="49"/>
      <c r="G75" s="49"/>
      <c r="H75" s="49"/>
      <c r="I75" s="49"/>
      <c r="J75" s="48"/>
    </row>
    <row r="76" spans="1:321" ht="31.5" customHeight="1">
      <c r="B76" s="38"/>
      <c r="C76" s="50"/>
      <c r="D76" s="51"/>
      <c r="E76" s="20"/>
      <c r="F76" s="17"/>
      <c r="G76" s="17"/>
      <c r="H76" s="17"/>
      <c r="I76" s="41"/>
      <c r="J76" s="48"/>
    </row>
    <row r="77" spans="1:321" ht="27" customHeight="1">
      <c r="B77" s="38"/>
      <c r="C77" s="50">
        <v>31</v>
      </c>
      <c r="D77" s="51" t="s">
        <v>47</v>
      </c>
      <c r="E77" s="20" t="s">
        <v>16</v>
      </c>
      <c r="F77" s="49"/>
      <c r="G77" s="49"/>
      <c r="H77" s="49"/>
      <c r="I77" s="49"/>
      <c r="J77" s="48"/>
    </row>
    <row r="78" spans="1:321" ht="31.5" customHeight="1">
      <c r="B78" s="38"/>
      <c r="C78" s="50"/>
      <c r="D78" s="51"/>
      <c r="E78" s="20"/>
      <c r="F78" s="17"/>
      <c r="G78" s="17"/>
      <c r="H78" s="17"/>
      <c r="I78" s="41"/>
      <c r="J78" s="48"/>
    </row>
    <row r="79" spans="1:321" ht="33.6" customHeight="1">
      <c r="B79" s="38"/>
      <c r="C79" s="50">
        <v>32</v>
      </c>
      <c r="D79" s="54" t="s">
        <v>48</v>
      </c>
      <c r="E79" s="20" t="s">
        <v>16</v>
      </c>
      <c r="F79" s="49"/>
      <c r="G79" s="49"/>
      <c r="H79" s="49"/>
      <c r="I79" s="49"/>
      <c r="J79" s="48"/>
    </row>
    <row r="80" spans="1:321" ht="15">
      <c r="B80" s="38"/>
      <c r="C80" s="50"/>
      <c r="D80" s="54"/>
      <c r="E80" s="20"/>
      <c r="F80" s="17"/>
      <c r="G80" s="17"/>
      <c r="H80" s="17"/>
      <c r="I80" s="40"/>
      <c r="J80" s="48"/>
    </row>
    <row r="81" spans="2:10" ht="14.25" customHeight="1">
      <c r="B81" s="38"/>
      <c r="C81" s="50">
        <v>33</v>
      </c>
      <c r="D81" s="52" t="s">
        <v>49</v>
      </c>
      <c r="E81" s="20" t="s">
        <v>16</v>
      </c>
      <c r="F81" s="49"/>
      <c r="G81" s="49"/>
      <c r="H81" s="49"/>
      <c r="I81" s="49"/>
      <c r="J81" s="48"/>
    </row>
    <row r="82" spans="2:10" ht="15.75" customHeight="1">
      <c r="B82" s="38"/>
      <c r="C82" s="50"/>
      <c r="D82" s="52"/>
      <c r="E82" s="20"/>
      <c r="F82" s="17"/>
      <c r="G82" s="17"/>
      <c r="H82" s="17"/>
      <c r="I82" s="41"/>
      <c r="J82" s="48"/>
    </row>
    <row r="83" spans="2:10" ht="14.25" customHeight="1">
      <c r="B83" s="38"/>
      <c r="C83" s="50">
        <v>34</v>
      </c>
      <c r="D83" s="52" t="s">
        <v>50</v>
      </c>
      <c r="E83" s="20" t="s">
        <v>16</v>
      </c>
      <c r="F83" s="49"/>
      <c r="G83" s="49"/>
      <c r="H83" s="49"/>
      <c r="I83" s="49"/>
      <c r="J83" s="48"/>
    </row>
    <row r="84" spans="2:10" ht="15.75" customHeight="1">
      <c r="B84" s="38"/>
      <c r="C84" s="50"/>
      <c r="D84" s="52"/>
      <c r="E84" s="20"/>
      <c r="F84" s="17"/>
      <c r="G84" s="17"/>
      <c r="H84" s="17"/>
      <c r="I84" s="40"/>
      <c r="J84" s="48"/>
    </row>
    <row r="85" spans="2:10" ht="14.25" customHeight="1">
      <c r="B85" s="38"/>
      <c r="C85" s="50">
        <v>35</v>
      </c>
      <c r="D85" s="52" t="s">
        <v>51</v>
      </c>
      <c r="E85" s="20" t="s">
        <v>16</v>
      </c>
      <c r="F85" s="49"/>
      <c r="G85" s="49"/>
      <c r="H85" s="49"/>
      <c r="I85" s="49"/>
      <c r="J85" s="48"/>
    </row>
    <row r="86" spans="2:10" ht="15.75" customHeight="1">
      <c r="B86" s="38"/>
      <c r="C86" s="50"/>
      <c r="D86" s="52"/>
      <c r="E86" s="20"/>
      <c r="F86" s="17"/>
      <c r="G86" s="17"/>
      <c r="H86" s="17"/>
      <c r="I86" s="41"/>
      <c r="J86" s="48"/>
    </row>
  </sheetData>
  <mergeCells count="150">
    <mergeCell ref="C29:C30"/>
    <mergeCell ref="D25:D26"/>
    <mergeCell ref="D31:J31"/>
    <mergeCell ref="D6:I6"/>
    <mergeCell ref="C27:C28"/>
    <mergeCell ref="D27:D28"/>
    <mergeCell ref="J41:J42"/>
    <mergeCell ref="J39:J40"/>
    <mergeCell ref="F39:I39"/>
    <mergeCell ref="F25:I25"/>
    <mergeCell ref="F27:I27"/>
    <mergeCell ref="J27:J28"/>
    <mergeCell ref="C41:C42"/>
    <mergeCell ref="D39:D40"/>
    <mergeCell ref="D41:D42"/>
    <mergeCell ref="F41:I41"/>
    <mergeCell ref="C17:C18"/>
    <mergeCell ref="D17:D18"/>
    <mergeCell ref="F17:I17"/>
    <mergeCell ref="J17:J18"/>
    <mergeCell ref="C19:C20"/>
    <mergeCell ref="F11:I11"/>
    <mergeCell ref="C32:C33"/>
    <mergeCell ref="J25:J26"/>
    <mergeCell ref="D19:D20"/>
    <mergeCell ref="F19:I19"/>
    <mergeCell ref="F1:I1"/>
    <mergeCell ref="F2:I2"/>
    <mergeCell ref="E13:I13"/>
    <mergeCell ref="J15:J16"/>
    <mergeCell ref="F15:I15"/>
    <mergeCell ref="D29:D30"/>
    <mergeCell ref="J29:J30"/>
    <mergeCell ref="F29:I29"/>
    <mergeCell ref="C11:D11"/>
    <mergeCell ref="E10:I10"/>
    <mergeCell ref="E12:I12"/>
    <mergeCell ref="C10:D10"/>
    <mergeCell ref="D15:D16"/>
    <mergeCell ref="C15:C16"/>
    <mergeCell ref="C25:C26"/>
    <mergeCell ref="C21:C22"/>
    <mergeCell ref="D21:D22"/>
    <mergeCell ref="F21:I21"/>
    <mergeCell ref="J21:J22"/>
    <mergeCell ref="C23:C24"/>
    <mergeCell ref="D23:D24"/>
    <mergeCell ref="F23:I23"/>
    <mergeCell ref="J23:J24"/>
    <mergeCell ref="D14:J14"/>
    <mergeCell ref="C53:C54"/>
    <mergeCell ref="D53:D54"/>
    <mergeCell ref="F53:I53"/>
    <mergeCell ref="J53:J54"/>
    <mergeCell ref="J51:J52"/>
    <mergeCell ref="J49:J50"/>
    <mergeCell ref="D49:D50"/>
    <mergeCell ref="F49:I49"/>
    <mergeCell ref="C47:C48"/>
    <mergeCell ref="D47:D48"/>
    <mergeCell ref="F47:I47"/>
    <mergeCell ref="J47:J48"/>
    <mergeCell ref="J43:J44"/>
    <mergeCell ref="C43:C44"/>
    <mergeCell ref="C49:C50"/>
    <mergeCell ref="C51:C52"/>
    <mergeCell ref="F43:I43"/>
    <mergeCell ref="C39:C40"/>
    <mergeCell ref="D32:D33"/>
    <mergeCell ref="F32:I32"/>
    <mergeCell ref="J32:J33"/>
    <mergeCell ref="C34:C35"/>
    <mergeCell ref="D34:D35"/>
    <mergeCell ref="F34:I34"/>
    <mergeCell ref="J34:J35"/>
    <mergeCell ref="C36:C37"/>
    <mergeCell ref="D36:D37"/>
    <mergeCell ref="F36:I36"/>
    <mergeCell ref="J36:J37"/>
    <mergeCell ref="D45:D46"/>
    <mergeCell ref="C45:C46"/>
    <mergeCell ref="D51:D52"/>
    <mergeCell ref="F51:I51"/>
    <mergeCell ref="J45:J46"/>
    <mergeCell ref="F45:I45"/>
    <mergeCell ref="D43:D44"/>
    <mergeCell ref="J73:J74"/>
    <mergeCell ref="C69:C70"/>
    <mergeCell ref="D69:D70"/>
    <mergeCell ref="F69:I69"/>
    <mergeCell ref="J69:J70"/>
    <mergeCell ref="C61:C62"/>
    <mergeCell ref="C63:C64"/>
    <mergeCell ref="D63:D64"/>
    <mergeCell ref="J63:J64"/>
    <mergeCell ref="C65:C66"/>
    <mergeCell ref="D65:D66"/>
    <mergeCell ref="F65:I65"/>
    <mergeCell ref="J65:J66"/>
    <mergeCell ref="J67:J68"/>
    <mergeCell ref="F63:I63"/>
    <mergeCell ref="J61:J62"/>
    <mergeCell ref="F61:I61"/>
    <mergeCell ref="C59:C60"/>
    <mergeCell ref="C71:C72"/>
    <mergeCell ref="D71:D72"/>
    <mergeCell ref="F71:I71"/>
    <mergeCell ref="C67:C68"/>
    <mergeCell ref="F67:I67"/>
    <mergeCell ref="C73:C74"/>
    <mergeCell ref="D73:D74"/>
    <mergeCell ref="F73:I73"/>
    <mergeCell ref="J85:J86"/>
    <mergeCell ref="D85:D86"/>
    <mergeCell ref="C85:C86"/>
    <mergeCell ref="F85:I85"/>
    <mergeCell ref="C77:C78"/>
    <mergeCell ref="C79:C80"/>
    <mergeCell ref="F79:I79"/>
    <mergeCell ref="C81:C82"/>
    <mergeCell ref="D81:D82"/>
    <mergeCell ref="F81:I81"/>
    <mergeCell ref="F77:I77"/>
    <mergeCell ref="J79:J80"/>
    <mergeCell ref="J77:J78"/>
    <mergeCell ref="J81:J82"/>
    <mergeCell ref="J57:J58"/>
    <mergeCell ref="F55:I55"/>
    <mergeCell ref="F57:I57"/>
    <mergeCell ref="J59:J60"/>
    <mergeCell ref="C75:C76"/>
    <mergeCell ref="D75:D76"/>
    <mergeCell ref="F75:I75"/>
    <mergeCell ref="J75:J76"/>
    <mergeCell ref="C83:C84"/>
    <mergeCell ref="D83:D84"/>
    <mergeCell ref="F83:I83"/>
    <mergeCell ref="J83:J84"/>
    <mergeCell ref="D67:D68"/>
    <mergeCell ref="D59:D60"/>
    <mergeCell ref="D61:D62"/>
    <mergeCell ref="D77:D78"/>
    <mergeCell ref="D79:D80"/>
    <mergeCell ref="J55:J56"/>
    <mergeCell ref="J71:J72"/>
    <mergeCell ref="C57:C58"/>
    <mergeCell ref="D57:D58"/>
    <mergeCell ref="F59:I59"/>
    <mergeCell ref="C55:C56"/>
    <mergeCell ref="D55:D56"/>
  </mergeCells>
  <conditionalFormatting sqref="J2">
    <cfRule type="containsText" dxfId="3" priority="5" operator="containsText" text="Controlla se hai cancellato tutte le voci che non servono e se hai dato tutte le risposte">
      <formula>NOT(ISERROR(SEARCH("Controlla se hai cancellato tutte le voci che non servono e se hai dato tutte le risposte",J2)))</formula>
    </cfRule>
    <cfRule type="containsText" dxfId="2" priority="6" operator="containsText" text="OK">
      <formula>NOT(ISERROR(SEARCH("OK",J2)))</formula>
    </cfRule>
  </conditionalFormatting>
  <conditionalFormatting sqref="J4">
    <cfRule type="containsText" dxfId="1" priority="1" operator="containsText" text="Controlla ">
      <formula>NOT(ISERROR(SEARCH("Controlla ",J4)))</formula>
    </cfRule>
    <cfRule type="containsText" dxfId="0" priority="2" operator="containsText" text="OK">
      <formula>NOT(ISERROR(SEARCH("OK",J4)))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Check-list SDD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Filomena</dc:creator>
  <cp:keywords/>
  <dc:description/>
  <cp:lastModifiedBy>ROSA CAROTENUTO</cp:lastModifiedBy>
  <cp:revision/>
  <dcterms:created xsi:type="dcterms:W3CDTF">2016-11-05T11:56:55Z</dcterms:created>
  <dcterms:modified xsi:type="dcterms:W3CDTF">2025-12-08T19:18:29Z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a1895249-8837-4f8f-8352-7bb2603d4669</vt:lpwstr>
  </property>
</Properties>
</file>