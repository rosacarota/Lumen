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unisalerno-my.sharepoint.com/personal/r_carotenuto16_studenti_unisa_it/Documents/C03 - Lumen/Documenti PM/Documenti/1. Avvio/"/>
    </mc:Choice>
  </mc:AlternateContent>
  <xr:revisionPtr revIDLastSave="153" documentId="8_{62904FAE-055C-4BCE-93D4-A0CB61F90E92}" xr6:coauthVersionLast="47" xr6:coauthVersionMax="47" xr10:uidLastSave="{53C5C633-5EC2-4964-928C-9D154E8179EB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1" l="1"/>
  <c r="C36" i="1"/>
  <c r="C12" i="1" s="1"/>
  <c r="C55" i="1"/>
  <c r="D41" i="1"/>
  <c r="D40" i="1"/>
  <c r="D39" i="1"/>
  <c r="E13" i="1"/>
  <c r="D13" i="1"/>
  <c r="C13" i="1"/>
  <c r="B13" i="1"/>
  <c r="B14" i="1" s="1"/>
  <c r="D9" i="1"/>
  <c r="E9" i="1"/>
  <c r="C9" i="1"/>
  <c r="B9" i="1"/>
  <c r="E12" i="1" l="1"/>
  <c r="E14" i="1" s="1"/>
  <c r="D12" i="1"/>
  <c r="D14" i="1" s="1"/>
  <c r="C14" i="1"/>
  <c r="D42" i="1"/>
  <c r="B59" i="1" l="1"/>
  <c r="C52" i="1"/>
  <c r="C51" i="1"/>
  <c r="C50" i="1"/>
  <c r="C53" i="1"/>
  <c r="F14" i="1"/>
  <c r="C54" i="1" l="1"/>
  <c r="B60" i="1" s="1"/>
  <c r="B61" i="1" s="1"/>
  <c r="B8" i="1" l="1"/>
  <c r="B10" i="1" s="1"/>
  <c r="B16" i="1" s="1"/>
  <c r="B17" i="1" s="1"/>
  <c r="C57" i="1"/>
  <c r="D8" i="1" l="1"/>
  <c r="D10" i="1" s="1"/>
  <c r="D16" i="1" s="1"/>
  <c r="E8" i="1"/>
  <c r="E10" i="1" s="1"/>
  <c r="E16" i="1" s="1"/>
  <c r="C8" i="1"/>
  <c r="C10" i="1" s="1"/>
  <c r="C16" i="1" l="1"/>
  <c r="C17" i="1" s="1"/>
  <c r="D17" i="1" s="1"/>
  <c r="E17" i="1" s="1"/>
  <c r="F10" i="1"/>
  <c r="B19" i="1" l="1"/>
  <c r="F16" i="1"/>
</calcChain>
</file>

<file path=xl/sharedStrings.xml><?xml version="1.0" encoding="utf-8"?>
<sst xmlns="http://schemas.openxmlformats.org/spreadsheetml/2006/main" count="90" uniqueCount="84">
  <si>
    <t>Discount rate</t>
  </si>
  <si>
    <t>Costs</t>
  </si>
  <si>
    <t>Discount factor</t>
  </si>
  <si>
    <t>Discounted costs</t>
  </si>
  <si>
    <t>Benefits</t>
  </si>
  <si>
    <t>Discounted benefits</t>
  </si>
  <si>
    <t>Discounted benefits - costs</t>
  </si>
  <si>
    <t>Cumulative benefits - costs</t>
  </si>
  <si>
    <t>Year</t>
  </si>
  <si>
    <t>NPV</t>
  </si>
  <si>
    <t>Total</t>
  </si>
  <si>
    <t>ROI</t>
  </si>
  <si>
    <t>Assume the project is completed in Year 0</t>
  </si>
  <si>
    <t>Date:</t>
  </si>
  <si>
    <t>Payback in Year 1</t>
  </si>
  <si>
    <t>Created by: Rosa Carotenuto, Luigi Guida</t>
  </si>
  <si>
    <t>€</t>
  </si>
  <si>
    <t># matchings</t>
  </si>
  <si>
    <t>2 h</t>
  </si>
  <si>
    <t>€/hour (baseline)</t>
  </si>
  <si>
    <t>2.000 h × €16,37</t>
  </si>
  <si>
    <t>+100 volontari × 50 h = 5.000 h</t>
  </si>
  <si>
    <t>5.000 h × €16,37</t>
  </si>
  <si>
    <t>Incremento ore donate dai volontari</t>
  </si>
  <si>
    <t>Riduzione costi amministrativi</t>
  </si>
  <si>
    <t>Valorizzazione del tempo dei beneficiari</t>
  </si>
  <si>
    <t>Aumento capacità operativa degli enti</t>
  </si>
  <si>
    <t>1.000 beneficiari, riduzione  attesa 5→2 giorni</t>
  </si>
  <si>
    <t>Prudential haircut</t>
  </si>
  <si>
    <t>Totale benefici annuali del progetto</t>
  </si>
  <si>
    <t>baseline</t>
  </si>
  <si>
    <t>Benefici (per anno)</t>
  </si>
  <si>
    <t>assunzioni</t>
  </si>
  <si>
    <t>Ore aggiuntive donate dai volontari</t>
  </si>
  <si>
    <t>Ore saved / matching</t>
  </si>
  <si>
    <t>Benefici derivanti dal risparmio di tempo</t>
  </si>
  <si>
    <t>€/ora (valutazione economica del volontariato)</t>
  </si>
  <si>
    <t>Project Manager</t>
  </si>
  <si>
    <t>Sviluppatore Senior</t>
  </si>
  <si>
    <t>Sviluppatore Junior (x3)</t>
  </si>
  <si>
    <t>Totale</t>
  </si>
  <si>
    <t>Assunzioni</t>
  </si>
  <si>
    <t>Infrastruttura IT</t>
  </si>
  <si>
    <t>Servizi cloud per sviluppo, test e staging; AI module compute</t>
  </si>
  <si>
    <t>Licenze software e strumenti</t>
  </si>
  <si>
    <t>IDE, CI/CD, testing, design collaborativo</t>
  </si>
  <si>
    <t>Formazione &amp; onboarding dev junior</t>
  </si>
  <si>
    <t>Training tecnico e metodologico</t>
  </si>
  <si>
    <t>Privacy, sicurezza e compliance</t>
  </si>
  <si>
    <t>DPIA, policy, IAM, logging sicuro</t>
  </si>
  <si>
    <t>Servizi di geolocalizzazione</t>
  </si>
  <si>
    <t>API maps &amp; location</t>
  </si>
  <si>
    <t>Costi indiretti</t>
  </si>
  <si>
    <t>Flat rate 15% costo personale</t>
  </si>
  <si>
    <t>Contingency Reserve</t>
  </si>
  <si>
    <t>10% costi diretti</t>
  </si>
  <si>
    <t>Management Reserve</t>
  </si>
  <si>
    <t>5% costo del personale</t>
  </si>
  <si>
    <t>Gestione operativa</t>
  </si>
  <si>
    <t>Ruolo</t>
  </si>
  <si>
    <t>Costo mensile (€)</t>
  </si>
  <si>
    <t>Costo 10 mesi (€)</t>
  </si>
  <si>
    <t>Voce di costo</t>
  </si>
  <si>
    <t>Assunzione</t>
  </si>
  <si>
    <t>Importo (€)</t>
  </si>
  <si>
    <t>Voce OPEX annuale</t>
  </si>
  <si>
    <t>Costi operativi annuali</t>
  </si>
  <si>
    <t>20% del costo totale di progetto</t>
  </si>
  <si>
    <t>Costi del personale</t>
  </si>
  <si>
    <t>Altri costi (CAPEX)</t>
  </si>
  <si>
    <t>Totale progetto</t>
  </si>
  <si>
    <t>Financial Analysis per Lumen</t>
  </si>
  <si>
    <t>RAL 50.000 €, 12.5h/sett</t>
  </si>
  <si>
    <t>RAL 40.000 €, 12h/sett</t>
  </si>
  <si>
    <t>RAL 30.000 €, 24h/sett</t>
  </si>
  <si>
    <t>Totale altri costi</t>
  </si>
  <si>
    <t>2.083,33</t>
  </si>
  <si>
    <t>1.666,67</t>
  </si>
  <si>
    <t xml:space="preserve">Riduzione dei costi di reclutamento e attivazione dei volontari </t>
  </si>
  <si>
    <t>≈150 volontari/anno × 80 €/volontario</t>
  </si>
  <si>
    <t>0,5–1 ULA</t>
  </si>
  <si>
    <t>Costi diretti</t>
  </si>
  <si>
    <t>+150 attività/anno, €220/attività</t>
  </si>
  <si>
    <t xml:space="preserve">≈25% dei benefit lordi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</si>
</sst>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[$€-2]\ #,##0.00;[Red]\-[$€-2]\ #,##0.00"/>
    <numFmt numFmtId="168" formatCode="#,##0.00\ &quot;€&quot;"/>
    <numFmt numFmtId="169" formatCode="#,##0\ &quot;€&quot;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9" fontId="2" fillId="0" borderId="0" xfId="3" applyFont="1"/>
    <xf numFmtId="9" fontId="2" fillId="0" borderId="0" xfId="0" applyNumberFormat="1" applyFont="1"/>
    <xf numFmtId="0" fontId="0" fillId="0" borderId="0" xfId="0" applyAlignment="1">
      <alignment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0" fontId="2" fillId="0" borderId="0" xfId="0" applyNumberFormat="1" applyFont="1"/>
    <xf numFmtId="0" fontId="7" fillId="0" borderId="0" xfId="2" applyNumberFormat="1" applyFont="1"/>
    <xf numFmtId="0" fontId="7" fillId="0" borderId="0" xfId="0" applyFont="1"/>
    <xf numFmtId="0" fontId="6" fillId="0" borderId="0" xfId="0" applyFont="1"/>
    <xf numFmtId="3" fontId="6" fillId="0" borderId="0" xfId="0" applyNumberFormat="1" applyFont="1"/>
    <xf numFmtId="3" fontId="7" fillId="0" borderId="0" xfId="0" applyNumberFormat="1" applyFont="1"/>
    <xf numFmtId="2" fontId="6" fillId="0" borderId="0" xfId="0" applyNumberFormat="1" applyFont="1"/>
    <xf numFmtId="166" fontId="7" fillId="0" borderId="0" xfId="1" applyNumberFormat="1" applyFont="1"/>
    <xf numFmtId="166" fontId="7" fillId="0" borderId="0" xfId="0" applyNumberFormat="1" applyFont="1"/>
    <xf numFmtId="37" fontId="7" fillId="0" borderId="0" xfId="1" applyNumberFormat="1" applyFont="1"/>
    <xf numFmtId="0" fontId="7" fillId="0" borderId="0" xfId="1" applyNumberFormat="1" applyFont="1"/>
    <xf numFmtId="166" fontId="6" fillId="0" borderId="0" xfId="0" applyNumberFormat="1" applyFont="1"/>
    <xf numFmtId="0" fontId="7" fillId="0" borderId="0" xfId="0" applyFont="1" applyAlignment="1">
      <alignment horizontal="right"/>
    </xf>
    <xf numFmtId="14" fontId="4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3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167" fontId="2" fillId="0" borderId="0" xfId="0" applyNumberFormat="1" applyFont="1" applyAlignment="1">
      <alignment horizontal="right" vertical="center" wrapText="1"/>
    </xf>
    <xf numFmtId="49" fontId="3" fillId="0" borderId="0" xfId="0" applyNumberFormat="1" applyFont="1" applyAlignment="1">
      <alignment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4" fontId="3" fillId="0" borderId="0" xfId="0" applyNumberFormat="1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horizontal="right" vertical="center" wrapText="1"/>
    </xf>
    <xf numFmtId="49" fontId="0" fillId="0" borderId="0" xfId="0" applyNumberFormat="1" applyAlignment="1">
      <alignment horizontal="right" vertical="center" wrapText="1"/>
    </xf>
    <xf numFmtId="49" fontId="0" fillId="0" borderId="0" xfId="0" applyNumberFormat="1"/>
    <xf numFmtId="49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168" fontId="2" fillId="0" borderId="0" xfId="0" applyNumberFormat="1" applyFont="1"/>
    <xf numFmtId="168" fontId="2" fillId="0" borderId="0" xfId="0" applyNumberFormat="1" applyFont="1" applyAlignment="1">
      <alignment horizontal="right" vertical="center" wrapText="1"/>
    </xf>
    <xf numFmtId="168" fontId="2" fillId="0" borderId="0" xfId="0" applyNumberFormat="1" applyFont="1" applyAlignment="1">
      <alignment horizontal="right" vertical="center"/>
    </xf>
    <xf numFmtId="168" fontId="3" fillId="0" borderId="0" xfId="0" applyNumberFormat="1" applyFont="1" applyAlignment="1">
      <alignment vertical="center" wrapText="1"/>
    </xf>
    <xf numFmtId="168" fontId="2" fillId="0" borderId="0" xfId="0" applyNumberFormat="1" applyFont="1" applyAlignment="1">
      <alignment vertical="center" wrapText="1"/>
    </xf>
    <xf numFmtId="169" fontId="3" fillId="0" borderId="0" xfId="0" applyNumberFormat="1" applyFont="1" applyAlignment="1">
      <alignment vertical="center" wrapText="1"/>
    </xf>
    <xf numFmtId="169" fontId="2" fillId="0" borderId="0" xfId="0" applyNumberFormat="1" applyFont="1" applyAlignment="1">
      <alignment vertical="center" wrapText="1"/>
    </xf>
    <xf numFmtId="168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4">
    <cellStyle name="Migliaia" xfId="1" builtinId="3"/>
    <cellStyle name="Normale" xfId="0" builtinId="0"/>
    <cellStyle name="Percentuale" xfId="3" builtinId="5"/>
    <cellStyle name="Valuta" xfId="2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15</xdr:row>
      <xdr:rowOff>85725</xdr:rowOff>
    </xdr:from>
    <xdr:to>
      <xdr:col>6</xdr:col>
      <xdr:colOff>276225</xdr:colOff>
      <xdr:row>15</xdr:row>
      <xdr:rowOff>85725</xdr:rowOff>
    </xdr:to>
    <xdr:sp macro="" textlink="">
      <xdr:nvSpPr>
        <xdr:cNvPr id="1044" name="Line 2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>
          <a:spLocks noChangeShapeType="1"/>
        </xdr:cNvSpPr>
      </xdr:nvSpPr>
      <xdr:spPr bwMode="auto">
        <a:xfrm flipH="1">
          <a:off x="5591175" y="316230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352425</xdr:colOff>
      <xdr:row>17</xdr:row>
      <xdr:rowOff>38100</xdr:rowOff>
    </xdr:from>
    <xdr:to>
      <xdr:col>2</xdr:col>
      <xdr:colOff>352425</xdr:colOff>
      <xdr:row>19</xdr:row>
      <xdr:rowOff>0</xdr:rowOff>
    </xdr:to>
    <xdr:sp macro="" textlink="">
      <xdr:nvSpPr>
        <xdr:cNvPr id="1045" name="Line 3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>
          <a:spLocks noChangeShapeType="1"/>
        </xdr:cNvSpPr>
      </xdr:nvSpPr>
      <xdr:spPr bwMode="auto">
        <a:xfrm flipV="1">
          <a:off x="3590925" y="3438525"/>
          <a:ext cx="0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0</xdr:col>
      <xdr:colOff>352425</xdr:colOff>
      <xdr:row>18</xdr:row>
      <xdr:rowOff>85725</xdr:rowOff>
    </xdr:from>
    <xdr:to>
      <xdr:col>0</xdr:col>
      <xdr:colOff>2371725</xdr:colOff>
      <xdr:row>18</xdr:row>
      <xdr:rowOff>85725</xdr:rowOff>
    </xdr:to>
    <xdr:sp macro="" textlink="">
      <xdr:nvSpPr>
        <xdr:cNvPr id="1046" name="Line 4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 noChangeShapeType="1"/>
        </xdr:cNvSpPr>
      </xdr:nvSpPr>
      <xdr:spPr bwMode="auto">
        <a:xfrm>
          <a:off x="352425" y="3648075"/>
          <a:ext cx="20193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1"/>
  <sheetViews>
    <sheetView tabSelected="1" topLeftCell="A46" zoomScaleNormal="100" workbookViewId="0">
      <selection activeCell="H50" sqref="H50"/>
    </sheetView>
  </sheetViews>
  <sheetFormatPr defaultRowHeight="13.2" x14ac:dyDescent="0.25"/>
  <cols>
    <col min="1" max="1" width="37.109375" bestFit="1" customWidth="1"/>
    <col min="2" max="2" width="15.33203125" customWidth="1"/>
    <col min="3" max="3" width="13" customWidth="1"/>
    <col min="4" max="4" width="19" bestFit="1" customWidth="1"/>
    <col min="5" max="5" width="12.33203125" customWidth="1"/>
  </cols>
  <sheetData>
    <row r="1" spans="1:7" ht="22.8" x14ac:dyDescent="0.4">
      <c r="A1" s="53" t="s">
        <v>71</v>
      </c>
      <c r="B1" s="53"/>
      <c r="C1" s="53"/>
      <c r="D1" s="53"/>
      <c r="E1" s="53"/>
      <c r="F1" s="53"/>
      <c r="G1" s="53"/>
    </row>
    <row r="2" spans="1:7" ht="22.8" x14ac:dyDescent="0.4">
      <c r="A2" s="6" t="s">
        <v>15</v>
      </c>
      <c r="B2" s="6"/>
      <c r="C2" s="6" t="s">
        <v>13</v>
      </c>
      <c r="D2" s="21">
        <v>45956</v>
      </c>
      <c r="E2" s="5"/>
      <c r="F2" s="5"/>
      <c r="G2" s="5"/>
    </row>
    <row r="3" spans="1:7" x14ac:dyDescent="0.25">
      <c r="A3" s="4"/>
      <c r="B3" s="4"/>
      <c r="C3" s="4"/>
      <c r="D3" s="4"/>
      <c r="E3" s="4"/>
      <c r="F3" s="4"/>
      <c r="G3" s="4"/>
    </row>
    <row r="4" spans="1:7" x14ac:dyDescent="0.25">
      <c r="A4" s="1" t="s">
        <v>0</v>
      </c>
      <c r="B4" s="8">
        <v>0.04</v>
      </c>
    </row>
    <row r="5" spans="1:7" x14ac:dyDescent="0.25">
      <c r="A5" s="1"/>
      <c r="B5" s="3"/>
    </row>
    <row r="6" spans="1:7" x14ac:dyDescent="0.25">
      <c r="A6" t="s">
        <v>12</v>
      </c>
      <c r="D6" s="1" t="s">
        <v>8</v>
      </c>
      <c r="F6" s="1"/>
    </row>
    <row r="7" spans="1:7" x14ac:dyDescent="0.25">
      <c r="B7" s="9">
        <v>0</v>
      </c>
      <c r="C7" s="10">
        <v>1</v>
      </c>
      <c r="D7" s="10">
        <v>2</v>
      </c>
      <c r="E7" s="10">
        <v>3</v>
      </c>
      <c r="F7" s="10" t="s">
        <v>10</v>
      </c>
      <c r="G7" s="11"/>
    </row>
    <row r="8" spans="1:7" x14ac:dyDescent="0.25">
      <c r="A8" t="s">
        <v>1</v>
      </c>
      <c r="B8" s="12">
        <f>B61</f>
        <v>146725.13500000001</v>
      </c>
      <c r="C8" s="13">
        <f>C57</f>
        <v>29345.027000000002</v>
      </c>
      <c r="D8" s="13">
        <f>C57</f>
        <v>29345.027000000002</v>
      </c>
      <c r="E8" s="13">
        <f>C57</f>
        <v>29345.027000000002</v>
      </c>
      <c r="F8" s="11"/>
      <c r="G8" s="11"/>
    </row>
    <row r="9" spans="1:7" x14ac:dyDescent="0.25">
      <c r="A9" t="s">
        <v>2</v>
      </c>
      <c r="B9" s="14">
        <f>ROUND(1/(1+$B$4)^B$7,2)</f>
        <v>1</v>
      </c>
      <c r="C9" s="14">
        <f>ROUND(1/(1+$B$4)^C$7,2)</f>
        <v>0.96</v>
      </c>
      <c r="D9" s="14">
        <f>ROUND(1/(1+$B$4)^D$7,2)</f>
        <v>0.92</v>
      </c>
      <c r="E9" s="14">
        <f>ROUND(1/(1+$B$4)^E$7,2)</f>
        <v>0.89</v>
      </c>
      <c r="F9" s="11"/>
      <c r="G9" s="11"/>
    </row>
    <row r="10" spans="1:7" x14ac:dyDescent="0.25">
      <c r="A10" s="1" t="s">
        <v>3</v>
      </c>
      <c r="B10" s="15">
        <f>B8*B9</f>
        <v>146725.13500000001</v>
      </c>
      <c r="C10" s="15">
        <f>C8*C9</f>
        <v>28171.225920000001</v>
      </c>
      <c r="D10" s="15">
        <f>D8*D9</f>
        <v>26997.424840000003</v>
      </c>
      <c r="E10" s="15">
        <f>E8*E9</f>
        <v>26117.074030000003</v>
      </c>
      <c r="F10" s="16">
        <f>SUM(B10:E10)</f>
        <v>228010.85979000002</v>
      </c>
      <c r="G10" s="11"/>
    </row>
    <row r="11" spans="1:7" x14ac:dyDescent="0.25">
      <c r="B11" s="11"/>
      <c r="C11" s="11"/>
      <c r="D11" s="11"/>
      <c r="E11" s="11"/>
      <c r="F11" s="11"/>
      <c r="G11" s="11"/>
    </row>
    <row r="12" spans="1:7" x14ac:dyDescent="0.25">
      <c r="A12" t="s">
        <v>4</v>
      </c>
      <c r="B12" s="17">
        <v>0</v>
      </c>
      <c r="C12" s="17">
        <f>C36</f>
        <v>149692.5</v>
      </c>
      <c r="D12" s="17">
        <f>C36</f>
        <v>149692.5</v>
      </c>
      <c r="E12" s="17">
        <f>C36</f>
        <v>149692.5</v>
      </c>
      <c r="F12" s="11"/>
      <c r="G12" s="11"/>
    </row>
    <row r="13" spans="1:7" x14ac:dyDescent="0.25">
      <c r="A13" t="s">
        <v>2</v>
      </c>
      <c r="B13" s="14">
        <f>ROUND(1/(1+$B$4)^B$7,2)</f>
        <v>1</v>
      </c>
      <c r="C13" s="14">
        <f>ROUND(1/(1+$B$4)^C$7,2)</f>
        <v>0.96</v>
      </c>
      <c r="D13" s="14">
        <f>ROUND(1/(1+$B$4)^D$7,2)</f>
        <v>0.92</v>
      </c>
      <c r="E13" s="14">
        <f>ROUND(1/(1+$B$4)^E$7,2)</f>
        <v>0.89</v>
      </c>
      <c r="F13" s="11"/>
      <c r="G13" s="11"/>
    </row>
    <row r="14" spans="1:7" x14ac:dyDescent="0.25">
      <c r="A14" s="1" t="s">
        <v>5</v>
      </c>
      <c r="B14" s="18">
        <f>B12*B13</f>
        <v>0</v>
      </c>
      <c r="C14" s="15">
        <f>C12*C13</f>
        <v>143704.79999999999</v>
      </c>
      <c r="D14" s="15">
        <f>D12*D13</f>
        <v>137717.1</v>
      </c>
      <c r="E14" s="15">
        <f>E12*E13</f>
        <v>133226.32500000001</v>
      </c>
      <c r="F14" s="15">
        <f>SUM(B14:E14)</f>
        <v>414648.22500000003</v>
      </c>
      <c r="G14" s="11"/>
    </row>
    <row r="15" spans="1:7" x14ac:dyDescent="0.25">
      <c r="B15" s="11"/>
      <c r="C15" s="11"/>
      <c r="D15" s="11"/>
      <c r="E15" s="11"/>
      <c r="F15" s="11"/>
      <c r="G15" s="11"/>
    </row>
    <row r="16" spans="1:7" x14ac:dyDescent="0.25">
      <c r="A16" t="s">
        <v>6</v>
      </c>
      <c r="B16" s="19">
        <f>B14-B10</f>
        <v>-146725.13500000001</v>
      </c>
      <c r="C16" s="19">
        <f>C14-C10</f>
        <v>115533.57407999999</v>
      </c>
      <c r="D16" s="19">
        <f>D14-D10</f>
        <v>110719.67516</v>
      </c>
      <c r="E16" s="19">
        <f>E14-E10</f>
        <v>107109.25097000001</v>
      </c>
      <c r="F16" s="16">
        <f>F14-F10</f>
        <v>186637.36521000002</v>
      </c>
      <c r="G16" s="20" t="s">
        <v>9</v>
      </c>
    </row>
    <row r="17" spans="1:7" x14ac:dyDescent="0.25">
      <c r="A17" t="s">
        <v>7</v>
      </c>
      <c r="B17" s="19">
        <f>B16</f>
        <v>-146725.13500000001</v>
      </c>
      <c r="C17" s="19">
        <f>B17+C16</f>
        <v>-31191.560920000018</v>
      </c>
      <c r="D17" s="19">
        <f>C17+D16</f>
        <v>79528.114239999981</v>
      </c>
      <c r="E17" s="19">
        <f>D17+E16</f>
        <v>186637.36520999999</v>
      </c>
      <c r="F17" s="11"/>
      <c r="G17" s="11"/>
    </row>
    <row r="18" spans="1:7" x14ac:dyDescent="0.25">
      <c r="B18" s="11"/>
      <c r="C18" s="11"/>
      <c r="D18" s="11"/>
      <c r="E18" s="11"/>
      <c r="F18" s="11"/>
      <c r="G18" s="11"/>
    </row>
    <row r="19" spans="1:7" x14ac:dyDescent="0.25">
      <c r="A19" s="1" t="s">
        <v>11</v>
      </c>
      <c r="B19" s="2">
        <f>(F14-F10)/F10</f>
        <v>0.8185459472495944</v>
      </c>
    </row>
    <row r="20" spans="1:7" x14ac:dyDescent="0.25">
      <c r="B20" s="52" t="s">
        <v>14</v>
      </c>
      <c r="C20" s="52"/>
      <c r="D20" s="52"/>
    </row>
    <row r="21" spans="1:7" x14ac:dyDescent="0.25">
      <c r="B21" s="7"/>
      <c r="C21" s="7"/>
      <c r="D21" s="7"/>
    </row>
    <row r="22" spans="1:7" x14ac:dyDescent="0.25">
      <c r="A22" s="1" t="s">
        <v>41</v>
      </c>
    </row>
    <row r="23" spans="1:7" x14ac:dyDescent="0.25">
      <c r="A23" s="22" t="s">
        <v>31</v>
      </c>
      <c r="B23" s="23" t="s">
        <v>32</v>
      </c>
      <c r="C23" s="36" t="s">
        <v>16</v>
      </c>
    </row>
    <row r="24" spans="1:7" x14ac:dyDescent="0.25">
      <c r="A24" s="24" t="s">
        <v>17</v>
      </c>
      <c r="B24" s="25">
        <v>1000</v>
      </c>
      <c r="C24" s="37"/>
    </row>
    <row r="25" spans="1:7" x14ac:dyDescent="0.25">
      <c r="A25" s="24" t="s">
        <v>34</v>
      </c>
      <c r="B25" s="26" t="s">
        <v>18</v>
      </c>
      <c r="C25" s="37"/>
    </row>
    <row r="26" spans="1:7" x14ac:dyDescent="0.25">
      <c r="A26" s="24" t="s">
        <v>19</v>
      </c>
      <c r="B26" s="27">
        <v>16.37</v>
      </c>
      <c r="C26" s="37"/>
    </row>
    <row r="27" spans="1:7" x14ac:dyDescent="0.25">
      <c r="A27" s="24" t="s">
        <v>35</v>
      </c>
      <c r="B27" s="26" t="s">
        <v>20</v>
      </c>
      <c r="C27" s="43">
        <v>32740</v>
      </c>
    </row>
    <row r="28" spans="1:7" x14ac:dyDescent="0.25">
      <c r="A28" s="24" t="s">
        <v>24</v>
      </c>
      <c r="B28" s="26" t="s">
        <v>80</v>
      </c>
      <c r="C28" s="43">
        <v>20000</v>
      </c>
    </row>
    <row r="29" spans="1:7" ht="26.4" x14ac:dyDescent="0.25">
      <c r="A29" s="24" t="s">
        <v>33</v>
      </c>
      <c r="B29" s="26" t="s">
        <v>21</v>
      </c>
      <c r="C29" s="43"/>
    </row>
    <row r="30" spans="1:7" ht="26.4" x14ac:dyDescent="0.25">
      <c r="A30" s="24" t="s">
        <v>36</v>
      </c>
      <c r="B30" s="27">
        <v>16.37</v>
      </c>
      <c r="C30" s="43"/>
    </row>
    <row r="31" spans="1:7" x14ac:dyDescent="0.25">
      <c r="A31" s="24" t="s">
        <v>23</v>
      </c>
      <c r="B31" s="26" t="s">
        <v>22</v>
      </c>
      <c r="C31" s="43">
        <v>81850</v>
      </c>
    </row>
    <row r="32" spans="1:7" ht="68.25" customHeight="1" x14ac:dyDescent="0.25">
      <c r="A32" s="29" t="s">
        <v>25</v>
      </c>
      <c r="B32" s="28" t="s">
        <v>27</v>
      </c>
      <c r="C32" s="44">
        <v>20000</v>
      </c>
    </row>
    <row r="33" spans="1:4" ht="39.6" x14ac:dyDescent="0.25">
      <c r="A33" s="1" t="s">
        <v>26</v>
      </c>
      <c r="B33" s="28" t="s">
        <v>82</v>
      </c>
      <c r="C33" s="44">
        <v>33000</v>
      </c>
    </row>
    <row r="34" spans="1:4" ht="54" customHeight="1" x14ac:dyDescent="0.25">
      <c r="A34" s="50" t="s">
        <v>78</v>
      </c>
      <c r="B34" s="51" t="s">
        <v>79</v>
      </c>
      <c r="C34" s="44">
        <v>12000</v>
      </c>
    </row>
    <row r="35" spans="1:4" ht="39.6" x14ac:dyDescent="0.25">
      <c r="A35" s="30" t="s">
        <v>28</v>
      </c>
      <c r="B35" s="31" t="s">
        <v>83</v>
      </c>
      <c r="C35" s="44">
        <f>-((C34+C33+C32+C31+C28+C27)*25%)</f>
        <v>-49897.5</v>
      </c>
      <c r="D35" s="49"/>
    </row>
    <row r="36" spans="1:4" x14ac:dyDescent="0.25">
      <c r="A36" s="1" t="s">
        <v>29</v>
      </c>
      <c r="B36" s="28" t="s">
        <v>30</v>
      </c>
      <c r="C36" s="42">
        <f>C27+C28+C31+C32+C33+C35+C34</f>
        <v>149692.5</v>
      </c>
    </row>
    <row r="37" spans="1:4" x14ac:dyDescent="0.25">
      <c r="C37" s="38"/>
    </row>
    <row r="38" spans="1:4" ht="26.4" x14ac:dyDescent="0.25">
      <c r="A38" s="22" t="s">
        <v>59</v>
      </c>
      <c r="B38" s="22" t="s">
        <v>41</v>
      </c>
      <c r="C38" s="39" t="s">
        <v>60</v>
      </c>
      <c r="D38" s="22" t="s">
        <v>61</v>
      </c>
    </row>
    <row r="39" spans="1:4" ht="26.4" x14ac:dyDescent="0.25">
      <c r="A39" s="32" t="s">
        <v>37</v>
      </c>
      <c r="B39" s="32" t="s">
        <v>72</v>
      </c>
      <c r="C39" s="40" t="s">
        <v>76</v>
      </c>
      <c r="D39" s="34">
        <f>C39*10</f>
        <v>20833.3</v>
      </c>
    </row>
    <row r="40" spans="1:4" ht="26.4" x14ac:dyDescent="0.25">
      <c r="A40" s="32" t="s">
        <v>38</v>
      </c>
      <c r="B40" s="32" t="s">
        <v>73</v>
      </c>
      <c r="C40" s="40" t="s">
        <v>77</v>
      </c>
      <c r="D40" s="34">
        <f t="shared" ref="D40" si="0">C40*10</f>
        <v>16666.7</v>
      </c>
    </row>
    <row r="41" spans="1:4" ht="26.4" x14ac:dyDescent="0.25">
      <c r="A41" s="32" t="s">
        <v>39</v>
      </c>
      <c r="B41" s="32" t="s">
        <v>74</v>
      </c>
      <c r="C41" s="40" t="s">
        <v>77</v>
      </c>
      <c r="D41" s="34">
        <f>C41*3*10</f>
        <v>50000.100000000006</v>
      </c>
    </row>
    <row r="42" spans="1:4" x14ac:dyDescent="0.25">
      <c r="A42" s="24" t="s">
        <v>40</v>
      </c>
      <c r="B42" s="33"/>
      <c r="C42" s="41"/>
      <c r="D42" s="35">
        <f>D39+D40+D41</f>
        <v>87500.1</v>
      </c>
    </row>
    <row r="43" spans="1:4" x14ac:dyDescent="0.25">
      <c r="C43" s="38"/>
    </row>
    <row r="44" spans="1:4" x14ac:dyDescent="0.25">
      <c r="A44" s="22" t="s">
        <v>62</v>
      </c>
      <c r="B44" s="22" t="s">
        <v>63</v>
      </c>
      <c r="C44" s="39" t="s">
        <v>64</v>
      </c>
    </row>
    <row r="45" spans="1:4" ht="52.8" x14ac:dyDescent="0.25">
      <c r="A45" s="32" t="s">
        <v>42</v>
      </c>
      <c r="B45" s="32" t="s">
        <v>43</v>
      </c>
      <c r="C45" s="45">
        <v>15000</v>
      </c>
    </row>
    <row r="46" spans="1:4" ht="39.6" x14ac:dyDescent="0.25">
      <c r="A46" s="32" t="s">
        <v>44</v>
      </c>
      <c r="B46" s="32" t="s">
        <v>45</v>
      </c>
      <c r="C46" s="45">
        <v>4500</v>
      </c>
    </row>
    <row r="47" spans="1:4" ht="26.4" x14ac:dyDescent="0.25">
      <c r="A47" s="32" t="s">
        <v>46</v>
      </c>
      <c r="B47" s="32" t="s">
        <v>47</v>
      </c>
      <c r="C47" s="45">
        <v>2000</v>
      </c>
    </row>
    <row r="48" spans="1:4" ht="39.6" x14ac:dyDescent="0.25">
      <c r="A48" s="32" t="s">
        <v>48</v>
      </c>
      <c r="B48" s="32" t="s">
        <v>49</v>
      </c>
      <c r="C48" s="45">
        <v>2500</v>
      </c>
    </row>
    <row r="49" spans="1:3" ht="26.4" x14ac:dyDescent="0.25">
      <c r="A49" s="32" t="s">
        <v>50</v>
      </c>
      <c r="B49" s="32" t="s">
        <v>51</v>
      </c>
      <c r="C49" s="45">
        <v>2000</v>
      </c>
    </row>
    <row r="50" spans="1:3" ht="26.4" x14ac:dyDescent="0.25">
      <c r="A50" s="32" t="s">
        <v>52</v>
      </c>
      <c r="B50" s="32" t="s">
        <v>53</v>
      </c>
      <c r="C50" s="45">
        <f>15%*D42</f>
        <v>13125.015000000001</v>
      </c>
    </row>
    <row r="51" spans="1:3" x14ac:dyDescent="0.25">
      <c r="A51" s="32" t="s">
        <v>54</v>
      </c>
      <c r="B51" s="32" t="s">
        <v>55</v>
      </c>
      <c r="C51" s="45">
        <f>(C45+C46+C47+C48+C49+D42)*10%</f>
        <v>11350.010000000002</v>
      </c>
    </row>
    <row r="52" spans="1:3" ht="26.4" x14ac:dyDescent="0.25">
      <c r="A52" s="32" t="s">
        <v>56</v>
      </c>
      <c r="B52" s="32" t="s">
        <v>57</v>
      </c>
      <c r="C52" s="45">
        <f>5%*D42</f>
        <v>4375.0050000000001</v>
      </c>
    </row>
    <row r="53" spans="1:3" ht="26.4" x14ac:dyDescent="0.25">
      <c r="A53" s="32" t="s">
        <v>58</v>
      </c>
      <c r="B53" s="32" t="s">
        <v>57</v>
      </c>
      <c r="C53" s="45">
        <f>5%*D42</f>
        <v>4375.0050000000001</v>
      </c>
    </row>
    <row r="54" spans="1:3" x14ac:dyDescent="0.25">
      <c r="A54" s="24" t="s">
        <v>75</v>
      </c>
      <c r="B54" s="33"/>
      <c r="C54" s="46">
        <f>C45+C46+C47+C48+C49+C50+C51+C52+C53</f>
        <v>59225.034999999996</v>
      </c>
    </row>
    <row r="55" spans="1:3" x14ac:dyDescent="0.25">
      <c r="A55" s="24" t="s">
        <v>81</v>
      </c>
      <c r="C55" s="42">
        <f>C45+C46+C47+C48+C49+D42</f>
        <v>113500.1</v>
      </c>
    </row>
    <row r="56" spans="1:3" x14ac:dyDescent="0.25">
      <c r="A56" s="22" t="s">
        <v>65</v>
      </c>
      <c r="B56" s="22" t="s">
        <v>63</v>
      </c>
      <c r="C56" s="39" t="s">
        <v>16</v>
      </c>
    </row>
    <row r="57" spans="1:3" ht="26.4" x14ac:dyDescent="0.25">
      <c r="A57" s="32" t="s">
        <v>66</v>
      </c>
      <c r="B57" s="32" t="s">
        <v>67</v>
      </c>
      <c r="C57" s="45">
        <f xml:space="preserve"> 20%*B61</f>
        <v>29345.027000000002</v>
      </c>
    </row>
    <row r="58" spans="1:3" x14ac:dyDescent="0.25">
      <c r="C58" s="38"/>
    </row>
    <row r="59" spans="1:3" x14ac:dyDescent="0.25">
      <c r="A59" s="32" t="s">
        <v>68</v>
      </c>
      <c r="B59" s="47">
        <f>D42</f>
        <v>87500.1</v>
      </c>
      <c r="C59" s="38"/>
    </row>
    <row r="60" spans="1:3" x14ac:dyDescent="0.25">
      <c r="A60" s="32" t="s">
        <v>69</v>
      </c>
      <c r="B60" s="47">
        <f>C54</f>
        <v>59225.034999999996</v>
      </c>
      <c r="C60" s="38"/>
    </row>
    <row r="61" spans="1:3" x14ac:dyDescent="0.25">
      <c r="A61" s="24" t="s">
        <v>70</v>
      </c>
      <c r="B61" s="48">
        <f>B59+B60</f>
        <v>146725.13500000001</v>
      </c>
      <c r="C61" s="38"/>
    </row>
  </sheetData>
  <mergeCells count="2">
    <mergeCell ref="B20:D20"/>
    <mergeCell ref="A1:G1"/>
  </mergeCells>
  <phoneticPr fontId="0" type="noConversion"/>
  <printOptions gridLines="1"/>
  <pageMargins left="0.75" right="0.75" top="1" bottom="1" header="0.5" footer="0.5"/>
  <pageSetup scale="5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>Augsburg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Department</dc:creator>
  <cp:lastModifiedBy>ROSA CAROTENUTO</cp:lastModifiedBy>
  <cp:lastPrinted>2025-12-12T01:31:14Z</cp:lastPrinted>
  <dcterms:created xsi:type="dcterms:W3CDTF">2003-02-20T16:30:31Z</dcterms:created>
  <dcterms:modified xsi:type="dcterms:W3CDTF">2025-12-15T18:19:05Z</dcterms:modified>
</cp:coreProperties>
</file>