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PM/Documenti/3. Esecuzione_Monitoraggio_Controllo/Valutazioni/"/>
    </mc:Choice>
  </mc:AlternateContent>
  <xr:revisionPtr revIDLastSave="161" documentId="13_ncr:1_{4356A5AD-4908-42B3-AEA1-976421CD7751}" xr6:coauthVersionLast="47" xr6:coauthVersionMax="47" xr10:uidLastSave="{60109326-13CC-4A12-89C3-9B95285A1608}"/>
  <bookViews>
    <workbookView xWindow="-120" yWindow="-120" windowWidth="29040" windowHeight="15720" tabRatio="899" firstSheet="1" activeTab="11" xr2:uid="{DE94078B-38AC-46B7-B62D-0FB29966C447}"/>
  </bookViews>
  <sheets>
    <sheet name="Michele Chierchia" sheetId="1" r:id="rId1"/>
    <sheet name="Felicia Riccio" sheetId="3" r:id="rId2"/>
    <sheet name="Gloria Scarallo" sheetId="4" r:id="rId3"/>
    <sheet name="Alessandro Cigliano" sheetId="5" r:id="rId4"/>
    <sheet name="Luca Afeltra" sheetId="6" r:id="rId5"/>
    <sheet name="Maurizio Santangelo" sheetId="7" r:id="rId6"/>
    <sheet name="Giovanni Di Rosa" sheetId="8" r:id="rId7"/>
    <sheet name="Giovanni Pio Scardone" sheetId="9" r:id="rId8"/>
    <sheet name="Matteo De Stasio" sheetId="10" r:id="rId9"/>
    <sheet name="Vittorio Denysenko" sheetId="11" r:id="rId10"/>
    <sheet name="Marianna Diograzia" sheetId="12" r:id="rId11"/>
    <sheet name="Valutazioni Finali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3" l="1"/>
  <c r="K8" i="13"/>
  <c r="J8" i="13"/>
  <c r="C8" i="13"/>
  <c r="D8" i="13"/>
  <c r="E8" i="13"/>
  <c r="F8" i="13"/>
  <c r="G8" i="13"/>
  <c r="H8" i="13"/>
  <c r="L8" i="13"/>
  <c r="B8" i="13"/>
  <c r="C7" i="13"/>
  <c r="D7" i="13"/>
  <c r="E7" i="13"/>
  <c r="F7" i="13"/>
  <c r="G7" i="13"/>
  <c r="H7" i="13"/>
  <c r="I7" i="13"/>
  <c r="J7" i="13"/>
  <c r="K7" i="13"/>
  <c r="L7" i="13"/>
  <c r="B7" i="13"/>
  <c r="K6" i="10"/>
  <c r="K6" i="11"/>
  <c r="K6" i="9"/>
  <c r="K6" i="4"/>
  <c r="K6" i="8"/>
  <c r="K6" i="6"/>
  <c r="K6" i="7"/>
  <c r="K6" i="5"/>
  <c r="K6" i="12"/>
  <c r="K6" i="3"/>
  <c r="K6" i="1"/>
  <c r="K5" i="12"/>
  <c r="K5" i="11"/>
  <c r="K5" i="10"/>
  <c r="K5" i="8"/>
  <c r="K5" i="9"/>
  <c r="K5" i="7"/>
  <c r="K5" i="6"/>
  <c r="K5" i="5"/>
  <c r="K5" i="4"/>
  <c r="K5" i="3"/>
  <c r="K5" i="1"/>
  <c r="K4" i="12"/>
  <c r="K4" i="11"/>
  <c r="K4" i="10"/>
  <c r="K4" i="9"/>
  <c r="K4" i="8"/>
  <c r="K4" i="7"/>
  <c r="K4" i="6"/>
  <c r="K4" i="5"/>
  <c r="K4" i="4"/>
  <c r="K4" i="3"/>
  <c r="K4" i="1"/>
</calcChain>
</file>

<file path=xl/sharedStrings.xml><?xml version="1.0" encoding="utf-8"?>
<sst xmlns="http://schemas.openxmlformats.org/spreadsheetml/2006/main" count="302" uniqueCount="43">
  <si>
    <t>CONTRIBUTO</t>
  </si>
  <si>
    <t>COMPORTAMENTO</t>
  </si>
  <si>
    <t>PROATTIVITA'</t>
  </si>
  <si>
    <t>PRODUTTIVITA'</t>
  </si>
  <si>
    <t>QUALITA' DEGLI ARTEFATTI</t>
  </si>
  <si>
    <t>RISPETTO DEL TEAM CONTRACT</t>
  </si>
  <si>
    <t>TEAM WORK</t>
  </si>
  <si>
    <t>VALUTAZIONE  –  Michele Chierchia</t>
  </si>
  <si>
    <t>Professionalità, rispetto e collaborazione all’interno del team</t>
  </si>
  <si>
    <t>Capacità di anticipare i problemi, proporre soluzioni e prendere l’iniziativa</t>
  </si>
  <si>
    <t>Efficienza nel completamente dei compiti assegnati</t>
  </si>
  <si>
    <t>Livello qualitativo dei prodotti e dei documenti realizzati</t>
  </si>
  <si>
    <t>Adesione ai principi e alle regole definite in questo documento</t>
  </si>
  <si>
    <t>Capacità di collaborare efficacemente con gli altri membri del team.</t>
  </si>
  <si>
    <t>MEDIA</t>
  </si>
  <si>
    <t>VALUTAZIONE  –  Felicia Riccio</t>
  </si>
  <si>
    <t>VALUTAZIONE  –  Gloria Scarallo</t>
  </si>
  <si>
    <t>VALUTAZIONE  –  Alesssandro Cigliano</t>
  </si>
  <si>
    <t>VALUTAZIONE  –  Luca Afeltra</t>
  </si>
  <si>
    <t>VALUTAZIONE  –  Maurizio Santangelo</t>
  </si>
  <si>
    <t>VALUTAZIONE  –  Giovanni Di Rosa</t>
  </si>
  <si>
    <t>VALUTAZIONE  –  Giovanni Pio Scardone</t>
  </si>
  <si>
    <t>VALUTAZIONE  –  Matteo De Stasio</t>
  </si>
  <si>
    <t>VALUTAZIONE  –  Vittorio Denysenko</t>
  </si>
  <si>
    <t>VALUTAZIONE  –  Marianna Diograzia</t>
  </si>
  <si>
    <t>Quantità del contributo al progetto</t>
  </si>
  <si>
    <t>Settimane 1-2</t>
  </si>
  <si>
    <t>Settimane 3-4</t>
  </si>
  <si>
    <t>Settimane 5-6</t>
  </si>
  <si>
    <t>Settimana 1-2</t>
  </si>
  <si>
    <t>MICHELE CHIERCHIA</t>
  </si>
  <si>
    <t>FELICIA RICCIO</t>
  </si>
  <si>
    <t>GLORIA SCARALLO</t>
  </si>
  <si>
    <t>ALESSANDRO CIGLIANO</t>
  </si>
  <si>
    <t>LUCA AFELTRA</t>
  </si>
  <si>
    <t>MAURIZIO SANTANGELO</t>
  </si>
  <si>
    <t>GIOVANNI DI ROSA</t>
  </si>
  <si>
    <t>GIOVANNI PIO SCARDONE</t>
  </si>
  <si>
    <t>MATTEO DE STASIO</t>
  </si>
  <si>
    <t>VITTORIO DENYSENKO</t>
  </si>
  <si>
    <t>MARIANNA DIOGRAZIA</t>
  </si>
  <si>
    <t>Media finale</t>
  </si>
  <si>
    <t>Valutazione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</si>
</sst>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Garamond"/>
      <family val="1"/>
    </font>
    <font>
      <sz val="8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rgb="FF2DA9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2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2DA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8650-B448-45D9-9F2B-00347D54BABB}" name="Table2" displayName="Table2" ref="B3:I6" headerRowCount="0" headerRowDxfId="219" dataDxfId="218" totalsRowDxfId="216" tableBorderDxfId="217">
  <tableColumns count="8">
    <tableColumn id="1" xr3:uid="{C1E0434A-554A-43E2-B9A1-EDA159FDCDED}" name="Column1" totalsRowLabel="Total" dataDxfId="215" totalsRowDxfId="214"/>
    <tableColumn id="2" xr3:uid="{992E333F-FFB2-43B2-8F5D-4571CD41126E}" name="Column2" dataDxfId="213" totalsRowDxfId="212"/>
    <tableColumn id="3" xr3:uid="{DE0FE197-4E2A-491A-A427-537B8BA69056}" name="Column3" dataDxfId="211" totalsRowDxfId="210"/>
    <tableColumn id="4" xr3:uid="{1FC70A1E-C4AF-4624-BE8A-F199F2866DCA}" name="Column4" dataDxfId="209" totalsRowDxfId="208"/>
    <tableColumn id="5" xr3:uid="{3114819B-E7B8-4C25-A7D8-989B1ECEA2B2}" name="Column5" dataDxfId="207" totalsRowDxfId="206"/>
    <tableColumn id="6" xr3:uid="{71D7F7F0-4529-4C10-8853-8C8A2246860E}" name="Column6" dataDxfId="205" totalsRowDxfId="204"/>
    <tableColumn id="7" xr3:uid="{87E28818-6DFF-42B3-9617-C9A2B170E32A}" name="Column7" dataDxfId="203" totalsRowDxfId="202"/>
    <tableColumn id="8" xr3:uid="{C81BD2CC-9EC5-4167-84EB-CF7DE81BE455}" name="Column8" totalsRowFunction="count" dataDxfId="201" totalsRowDxfId="20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E8C34-23CC-4BFE-924A-08F3C25C8A9B}" name="Table24" displayName="Table24" ref="B3:I6" headerRowCount="0" headerRowDxfId="199" dataDxfId="198" totalsRowDxfId="196" tableBorderDxfId="197">
  <tableColumns count="8">
    <tableColumn id="1" xr3:uid="{C4464DB1-75A7-4BAF-B879-31FA21F819BA}" name="Column1" totalsRowLabel="Total" dataDxfId="195" totalsRowDxfId="194"/>
    <tableColumn id="2" xr3:uid="{5A19665D-7D55-4C64-93F4-CDBE43855542}" name="Column2" dataDxfId="193" totalsRowDxfId="192"/>
    <tableColumn id="3" xr3:uid="{11D64E02-93AB-452F-9640-629C61B8C4CB}" name="Column3" dataDxfId="191" totalsRowDxfId="190"/>
    <tableColumn id="4" xr3:uid="{C0868B96-33C4-445E-B7FF-BB7ACCA2B6AD}" name="Column4" dataDxfId="189" totalsRowDxfId="188"/>
    <tableColumn id="5" xr3:uid="{EC56EC56-E84C-4BE0-AB4F-97E436C2E47E}" name="Column5" dataDxfId="187" totalsRowDxfId="186"/>
    <tableColumn id="6" xr3:uid="{C2545420-D8BE-45A8-A717-B37A460C7209}" name="Column6" dataDxfId="185" totalsRowDxfId="184"/>
    <tableColumn id="7" xr3:uid="{72CD2C4E-7FD9-47EF-9291-9787E0DF684F}" name="Column7" dataDxfId="183" totalsRowDxfId="182"/>
    <tableColumn id="8" xr3:uid="{E2B57EC5-AA6E-4BD2-9599-BFB8E54CB5B8}" name="Column8" totalsRowFunction="count" dataDxfId="181" totalsRowDxfId="18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4ECE72-D5E6-4D9B-82D1-9A90100ABD7A}" name="Table245" displayName="Table245" ref="B3:I4" headerRowCount="0" headerRowDxfId="179" dataDxfId="178" totalsRowDxfId="176" tableBorderDxfId="177">
  <tableColumns count="8">
    <tableColumn id="1" xr3:uid="{842DD74E-1A9C-46A4-A32F-4E81121981AF}" name="Column1" totalsRowLabel="Total" dataDxfId="175" totalsRowDxfId="174"/>
    <tableColumn id="2" xr3:uid="{14A89F96-3115-4093-863F-23CABE091DAA}" name="Column2" dataDxfId="173" totalsRowDxfId="172"/>
    <tableColumn id="3" xr3:uid="{1A21CF11-BED4-4F4F-A218-04F4ECBC4EB9}" name="Column3" dataDxfId="171" totalsRowDxfId="170"/>
    <tableColumn id="4" xr3:uid="{57A97D81-E92D-44EB-8CA1-92CE42BC48DC}" name="Column4" dataDxfId="169" totalsRowDxfId="168"/>
    <tableColumn id="5" xr3:uid="{76151162-7C98-4987-AC16-665BEF514A4F}" name="Column5" dataDxfId="167" totalsRowDxfId="166"/>
    <tableColumn id="6" xr3:uid="{3A85E274-5791-4C48-8CFC-010F11921D54}" name="Column6" dataDxfId="165" totalsRowDxfId="164"/>
    <tableColumn id="7" xr3:uid="{8BD4A39D-3915-4BF9-8564-292F2A993408}" name="Column7" dataDxfId="163" totalsRowDxfId="162"/>
    <tableColumn id="8" xr3:uid="{AD314D20-1772-443C-90C9-52E36360ECAE}" name="Column8" totalsRowFunction="count" dataDxfId="161" totalsRowDxfId="16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36CDF3-7DF5-4CDA-959C-49595F0C403B}" name="Table2456" displayName="Table2456" ref="B3:I4" headerRowCount="0" headerRowDxfId="159" dataDxfId="158" totalsRowDxfId="156" tableBorderDxfId="157">
  <tableColumns count="8">
    <tableColumn id="1" xr3:uid="{80D4CA0E-9BC5-4CEE-88AF-365A360DFA28}" name="Column1" totalsRowLabel="Total" dataDxfId="155" totalsRowDxfId="154"/>
    <tableColumn id="2" xr3:uid="{17831BE8-462E-40CF-A9FE-C898D3D1ECF8}" name="Column2" dataDxfId="153" totalsRowDxfId="152"/>
    <tableColumn id="3" xr3:uid="{33978E37-85D7-40B6-AD17-EC707A2C218B}" name="Column3" dataDxfId="151" totalsRowDxfId="150"/>
    <tableColumn id="4" xr3:uid="{7A8DEB11-4DB6-43D2-937A-3AAF9CDA632B}" name="Column4" dataDxfId="149" totalsRowDxfId="148"/>
    <tableColumn id="5" xr3:uid="{381DA8D4-4300-4A5C-BCD2-EC24E2D94295}" name="Column5" dataDxfId="147" totalsRowDxfId="146"/>
    <tableColumn id="6" xr3:uid="{2589ABAC-B5D4-44C8-8AD2-32F9D1444AE5}" name="Column6" dataDxfId="145" totalsRowDxfId="144"/>
    <tableColumn id="7" xr3:uid="{2A670B40-459B-4DA8-9C07-2C4087107978}" name="Column7" dataDxfId="143" totalsRowDxfId="142"/>
    <tableColumn id="8" xr3:uid="{2A518BBC-DB8A-40D9-9F38-C78B3C670465}" name="Column8" totalsRowFunction="count" dataDxfId="141" totalsRowDxfId="140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F9E17-FBD9-40FC-AB08-8F0F2699742F}" name="Table24567" displayName="Table24567" ref="B3:I4" headerRowCount="0" headerRowDxfId="139" dataDxfId="138" totalsRowDxfId="136" tableBorderDxfId="137">
  <tableColumns count="8">
    <tableColumn id="1" xr3:uid="{B0C977E0-A8DD-4D2D-9C88-4F1CA833E410}" name="Column1" totalsRowLabel="Total" dataDxfId="135" totalsRowDxfId="134"/>
    <tableColumn id="2" xr3:uid="{4EC53E11-4025-4554-9ED1-6C7768C805BD}" name="Column2" dataDxfId="133" totalsRowDxfId="132"/>
    <tableColumn id="3" xr3:uid="{E85F6145-CDB6-4FD7-B2A8-B25B8987507E}" name="Column3" dataDxfId="131" totalsRowDxfId="130"/>
    <tableColumn id="4" xr3:uid="{5CC6FB31-A713-4BE6-9EB8-F9CFC195CA2A}" name="Column4" dataDxfId="129" totalsRowDxfId="128"/>
    <tableColumn id="5" xr3:uid="{5B3A12CD-5A38-4C7C-B84F-0A863877A25F}" name="Column5" dataDxfId="127" totalsRowDxfId="126"/>
    <tableColumn id="6" xr3:uid="{1FD2EF8B-BB44-4E70-87A0-0CBC9E1E8494}" name="Column6" dataDxfId="125" totalsRowDxfId="124"/>
    <tableColumn id="7" xr3:uid="{B4ACFBA6-0ACA-48C5-BD61-910B5B4650B7}" name="Column7" dataDxfId="123" totalsRowDxfId="122"/>
    <tableColumn id="8" xr3:uid="{65BF8E6E-173B-4BEB-AF4B-26D1D3E3B7A1}" name="Column8" totalsRowFunction="count" dataDxfId="121" totalsRowDxfId="12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182BFF-EBB1-4ED9-9BBD-3FEC860D94E3}" name="Table245678" displayName="Table245678" ref="B3:I4" headerRowCount="0" headerRowDxfId="119" dataDxfId="118" totalsRowDxfId="116" tableBorderDxfId="117">
  <tableColumns count="8">
    <tableColumn id="1" xr3:uid="{3AC8B669-5076-42D9-8678-2328275936C2}" name="Column1" totalsRowLabel="Total" dataDxfId="115" totalsRowDxfId="114"/>
    <tableColumn id="2" xr3:uid="{1F6E92AF-9CE7-41B3-ABA9-709B8E72547D}" name="Column2" dataDxfId="113" totalsRowDxfId="112"/>
    <tableColumn id="3" xr3:uid="{A5F7621D-163B-4490-8C0D-DFB6D67B1238}" name="Column3" dataDxfId="111" totalsRowDxfId="110"/>
    <tableColumn id="4" xr3:uid="{417A8FCC-4185-48CE-97BC-E4DB95496E13}" name="Column4" dataDxfId="109" totalsRowDxfId="108"/>
    <tableColumn id="5" xr3:uid="{6A585A53-8639-4A92-9B98-22E90CE5F767}" name="Column5" dataDxfId="107" totalsRowDxfId="106"/>
    <tableColumn id="6" xr3:uid="{2D11623C-C078-49DF-8850-BC010F6CF0A8}" name="Column6" dataDxfId="105" totalsRowDxfId="104"/>
    <tableColumn id="7" xr3:uid="{3D7F1EC7-6204-4334-AA58-217944E7AA15}" name="Column7" dataDxfId="103" totalsRowDxfId="102"/>
    <tableColumn id="8" xr3:uid="{CA34A9E4-1492-499C-9BCA-C6F7F6A78542}" name="Column8" totalsRowFunction="count" dataDxfId="101" totalsRowDxfId="100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EDDDB8-C4CC-4F4B-BA8D-F922636448EF}" name="Table2456789" displayName="Table2456789" ref="B3:I4" headerRowCount="0" headerRowDxfId="99" dataDxfId="98" totalsRowDxfId="96" tableBorderDxfId="97">
  <tableColumns count="8">
    <tableColumn id="1" xr3:uid="{AB342CE9-25CB-44A8-B67E-7A18E827D892}" name="Column1" totalsRowLabel="Total" dataDxfId="95" totalsRowDxfId="94"/>
    <tableColumn id="2" xr3:uid="{AA7848BA-0029-4921-BD15-3CDDFC6C90AA}" name="Column2" dataDxfId="93" totalsRowDxfId="92"/>
    <tableColumn id="3" xr3:uid="{7D68A6DA-876E-4EF0-B189-1CE18AFF1130}" name="Column3" dataDxfId="91" totalsRowDxfId="90"/>
    <tableColumn id="4" xr3:uid="{2BED5560-79BC-4A2F-B793-86DDABA6E309}" name="Column4" dataDxfId="89" totalsRowDxfId="88"/>
    <tableColumn id="5" xr3:uid="{9FB60E81-9978-4C2E-98F4-51C9E84EAA24}" name="Column5" dataDxfId="87" totalsRowDxfId="86"/>
    <tableColumn id="6" xr3:uid="{AFF9372E-66BE-4D61-AF21-FFBBE6EDF7A4}" name="Column6" dataDxfId="85" totalsRowDxfId="84"/>
    <tableColumn id="7" xr3:uid="{A795750F-3952-468B-B3D1-9355F1E07A3D}" name="Column7" dataDxfId="83" totalsRowDxfId="82"/>
    <tableColumn id="8" xr3:uid="{364FF817-4823-49EF-86DB-9CEE984C38F4}" name="Column8" totalsRowFunction="count" dataDxfId="81" totalsRowDxfId="80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EFE1B8-EE65-4721-B255-6DD706B876EF}" name="Table245678910" displayName="Table245678910" ref="B3:I4" headerRowCount="0" headerRowDxfId="79" dataDxfId="78" totalsRowDxfId="76" tableBorderDxfId="77">
  <tableColumns count="8">
    <tableColumn id="1" xr3:uid="{A2E8D8F8-0975-41D4-A002-55B4B4C21DEA}" name="Column1" totalsRowLabel="Total" dataDxfId="75" totalsRowDxfId="74"/>
    <tableColumn id="2" xr3:uid="{9188F515-A8C4-4EDC-9FD7-0C4C2FA7508B}" name="Column2" dataDxfId="73" totalsRowDxfId="72"/>
    <tableColumn id="3" xr3:uid="{3DB1FCF2-BA66-490C-B1DA-20A217158A3C}" name="Column3" dataDxfId="71" totalsRowDxfId="70"/>
    <tableColumn id="4" xr3:uid="{07031587-A377-48D8-A4BF-89E19FC1E427}" name="Column4" dataDxfId="69" totalsRowDxfId="68"/>
    <tableColumn id="5" xr3:uid="{0C0B1677-33C5-4E94-8979-557DA20E9604}" name="Column5" dataDxfId="67" totalsRowDxfId="66"/>
    <tableColumn id="6" xr3:uid="{BA57F932-F869-41F7-9BFC-41A6E0F4D3CD}" name="Column6" dataDxfId="65" totalsRowDxfId="64"/>
    <tableColumn id="7" xr3:uid="{9E0C8392-2404-423C-99D4-D52298B2A655}" name="Column7" dataDxfId="63" totalsRowDxfId="62"/>
    <tableColumn id="8" xr3:uid="{B7A22AB5-564C-4C88-9E89-DCC07AD63A44}" name="Column8" totalsRowFunction="count" dataDxfId="61" totalsRowDxfId="60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63504C-218B-4ED2-950F-E886554FA7EA}" name="Table24567891011" displayName="Table24567891011" ref="B3:I4" headerRowCount="0" headerRowDxfId="59" dataDxfId="58" totalsRowDxfId="56" tableBorderDxfId="57">
  <tableColumns count="8">
    <tableColumn id="1" xr3:uid="{6418278E-F1B6-4993-9E83-095DB2D9B9D7}" name="Column1" totalsRowLabel="Total" dataDxfId="55" totalsRowDxfId="54"/>
    <tableColumn id="2" xr3:uid="{9A94EF0F-34BB-4317-9E9C-42C1C51E80BD}" name="Column2" dataDxfId="53" totalsRowDxfId="52"/>
    <tableColumn id="3" xr3:uid="{0B974FB2-AA77-4499-BF51-B2ACFBF04B37}" name="Column3" dataDxfId="51" totalsRowDxfId="50"/>
    <tableColumn id="4" xr3:uid="{E4920E61-DCFA-4668-BBF3-DCD2FC3C97B9}" name="Column4" dataDxfId="49" totalsRowDxfId="48"/>
    <tableColumn id="5" xr3:uid="{9A027C58-9931-453D-B751-E2F89FD43121}" name="Column5" dataDxfId="47" totalsRowDxfId="46"/>
    <tableColumn id="6" xr3:uid="{C6081CD3-655C-4F62-9D10-CBB44E58371B}" name="Column6" dataDxfId="45" totalsRowDxfId="44"/>
    <tableColumn id="7" xr3:uid="{3E877491-C677-4796-AF8A-4541B7725C6F}" name="Column7" dataDxfId="43" totalsRowDxfId="42"/>
    <tableColumn id="8" xr3:uid="{59366747-02F1-46A8-AD82-82AC7ED0EB46}" name="Column8" totalsRowFunction="count" dataDxfId="41" totalsRowDxfId="40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A98D7E-8797-4C1B-80A3-CAA2CCBF845B}" name="Table2456789101112" displayName="Table2456789101112" ref="B3:I4" headerRowCount="0" headerRowDxfId="39" dataDxfId="38" totalsRowDxfId="36" tableBorderDxfId="37">
  <tableColumns count="8">
    <tableColumn id="1" xr3:uid="{C1D95443-DAE7-4D55-8127-99B6E4932986}" name="Column1" totalsRowLabel="Total" dataDxfId="35" totalsRowDxfId="34"/>
    <tableColumn id="2" xr3:uid="{5783B7FB-4C08-4E39-9C5F-D9A32E2D4678}" name="Column2" dataDxfId="33" totalsRowDxfId="32"/>
    <tableColumn id="3" xr3:uid="{09EBC5BA-0A1B-4499-B634-3FAAA6D5A0FE}" name="Column3" dataDxfId="31" totalsRowDxfId="30"/>
    <tableColumn id="4" xr3:uid="{3830B438-096F-4AD6-87A3-59E44EC5CCCE}" name="Column4" dataDxfId="29" totalsRowDxfId="28"/>
    <tableColumn id="5" xr3:uid="{D2501692-2149-4ED4-8883-E583608F280D}" name="Column5" dataDxfId="27" totalsRowDxfId="26"/>
    <tableColumn id="6" xr3:uid="{901F036C-21D5-4817-87D3-AEB15068C591}" name="Column6" dataDxfId="25" totalsRowDxfId="24"/>
    <tableColumn id="7" xr3:uid="{0DA662C1-A97A-4C4E-ADD8-0986E78CC943}" name="Column7" dataDxfId="23" totalsRowDxfId="22"/>
    <tableColumn id="8" xr3:uid="{C657EDB7-E3B3-4049-A5D6-FE90866EBDD9}" name="Column8" totalsRowFunction="count" dataDxfId="21" totalsRowDxfId="20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A2DD22-B6B9-476E-B11C-695DFA49875A}" name="Table245678910111213" displayName="Table245678910111213" ref="B3:I4" headerRowCount="0" headerRowDxfId="19" dataDxfId="18" totalsRowDxfId="16" tableBorderDxfId="17">
  <tableColumns count="8">
    <tableColumn id="1" xr3:uid="{EFE6B0B7-0687-43AD-B613-BAAA0CD15BA1}" name="Column1" totalsRowLabel="Total" dataDxfId="15" totalsRowDxfId="14"/>
    <tableColumn id="2" xr3:uid="{4250EA96-F76D-4D89-A326-E2B714A31FD1}" name="Column2" dataDxfId="13" totalsRowDxfId="12"/>
    <tableColumn id="3" xr3:uid="{A56E2203-667B-47BB-AF5E-E64FD7BD7C1B}" name="Column3" dataDxfId="11" totalsRowDxfId="10"/>
    <tableColumn id="4" xr3:uid="{A05E9FD1-8B4C-4251-89C5-762914424CE6}" name="Column4" dataDxfId="9" totalsRowDxfId="8"/>
    <tableColumn id="5" xr3:uid="{D1412BF2-DE86-40A5-A50C-2009E3738670}" name="Column5" dataDxfId="7" totalsRowDxfId="6"/>
    <tableColumn id="6" xr3:uid="{908082E0-2878-4B82-855E-B2FB67F38A91}" name="Column6" dataDxfId="5" totalsRowDxfId="4"/>
    <tableColumn id="7" xr3:uid="{1F307BC5-E7DA-4179-AED6-8AD9F63B1879}" name="Column7" dataDxfId="3" totalsRowDxfId="2"/>
    <tableColumn id="8" xr3:uid="{EC0A5727-0084-48B9-8E1A-1293008804B6}" name="Column8" totalsRowFunction="count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AA27-1E90-476D-B2E6-479636829103}">
  <dimension ref="B2:K22"/>
  <sheetViews>
    <sheetView workbookViewId="0">
      <selection activeCell="K4" sqref="K4:K6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7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4</v>
      </c>
      <c r="D4" s="2">
        <v>3</v>
      </c>
      <c r="E4" s="2">
        <v>4</v>
      </c>
      <c r="F4" s="2">
        <v>4</v>
      </c>
      <c r="G4" s="2">
        <v>3</v>
      </c>
      <c r="H4" s="2">
        <v>4</v>
      </c>
      <c r="I4" s="3">
        <v>4</v>
      </c>
      <c r="K4" s="9">
        <f>AVERAGE(Table2[[#This Row],[Column2]:[Column8]])</f>
        <v>3.7142857142857144</v>
      </c>
    </row>
    <row r="5" spans="2:11" x14ac:dyDescent="0.25">
      <c r="B5" s="1" t="s">
        <v>27</v>
      </c>
      <c r="C5" s="2">
        <v>5</v>
      </c>
      <c r="D5" s="2">
        <v>5</v>
      </c>
      <c r="E5" s="2">
        <v>5</v>
      </c>
      <c r="F5" s="2">
        <v>5</v>
      </c>
      <c r="G5" s="2">
        <v>4</v>
      </c>
      <c r="H5" s="2">
        <v>5</v>
      </c>
      <c r="I5" s="2">
        <v>5</v>
      </c>
      <c r="K5" s="9">
        <f>AVERAGE(Table2[[#This Row],[Column2]:[Column8]])</f>
        <v>4.8571428571428568</v>
      </c>
    </row>
    <row r="6" spans="2:11" x14ac:dyDescent="0.25">
      <c r="B6" s="1" t="s">
        <v>28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3">
        <v>5</v>
      </c>
      <c r="K6" s="9">
        <f>AVERAGE(Table2[[#This Row],[Column2]:[Column8]])</f>
        <v>5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phoneticPr fontId="3" type="noConversion"/>
  <conditionalFormatting sqref="C4:I4 C6:I6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DBD9-BA19-49C0-8729-C16B2767CE19}">
  <dimension ref="B2:K22"/>
  <sheetViews>
    <sheetView workbookViewId="0">
      <selection activeCell="J15" sqref="J15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15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3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3">
        <v>3</v>
      </c>
      <c r="K4" s="9">
        <f>AVERAGE(Table24[[#This Row],[Column2]:[Column8]])</f>
        <v>3.7142857142857144</v>
      </c>
    </row>
    <row r="5" spans="2:11" x14ac:dyDescent="0.25">
      <c r="B5" s="1" t="s">
        <v>27</v>
      </c>
      <c r="C5" s="2">
        <v>4</v>
      </c>
      <c r="D5" s="2">
        <v>5</v>
      </c>
      <c r="E5" s="2">
        <v>4</v>
      </c>
      <c r="F5" s="2">
        <v>5</v>
      </c>
      <c r="G5" s="2">
        <v>5</v>
      </c>
      <c r="H5" s="2">
        <v>5</v>
      </c>
      <c r="I5" s="3">
        <v>5</v>
      </c>
      <c r="K5" s="9">
        <f>AVERAGE(Table24[[#This Row],[Column2]:[Column8]])</f>
        <v>4.7142857142857144</v>
      </c>
    </row>
    <row r="6" spans="2:11" x14ac:dyDescent="0.25">
      <c r="B6" s="1" t="s">
        <v>28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3">
        <v>5</v>
      </c>
      <c r="K6" s="9">
        <f>AVERAGE(Table24[[#This Row],[Column2]:[Column8]])</f>
        <v>5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8E2C-69D0-4E9B-9D12-2488881BE74F}">
  <dimension ref="B2:K22"/>
  <sheetViews>
    <sheetView workbookViewId="0">
      <selection activeCell="K5" sqref="K5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16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3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3">
        <v>3</v>
      </c>
      <c r="K4" s="9">
        <f>AVERAGE(Table245[[#This Row],[Column2]:[Column8]])</f>
        <v>3.7142857142857144</v>
      </c>
    </row>
    <row r="5" spans="2:11" x14ac:dyDescent="0.25">
      <c r="B5" s="10" t="s">
        <v>27</v>
      </c>
      <c r="C5" s="10">
        <v>4</v>
      </c>
      <c r="D5" s="10">
        <v>5</v>
      </c>
      <c r="E5" s="10">
        <v>5</v>
      </c>
      <c r="F5" s="10">
        <v>5</v>
      </c>
      <c r="G5" s="10">
        <v>4</v>
      </c>
      <c r="H5" s="10">
        <v>5</v>
      </c>
      <c r="I5" s="10">
        <v>4</v>
      </c>
      <c r="K5" s="9">
        <f>AVERAGE(C5:I5)</f>
        <v>4.5714285714285712</v>
      </c>
    </row>
    <row r="6" spans="2:11" x14ac:dyDescent="0.25">
      <c r="B6" s="10" t="s">
        <v>28</v>
      </c>
      <c r="C6" s="10">
        <v>5</v>
      </c>
      <c r="D6" s="10">
        <v>5</v>
      </c>
      <c r="E6" s="10">
        <v>5</v>
      </c>
      <c r="F6" s="10">
        <v>5</v>
      </c>
      <c r="G6" s="10">
        <v>5</v>
      </c>
      <c r="H6" s="10">
        <v>5</v>
      </c>
      <c r="I6" s="10">
        <v>5</v>
      </c>
      <c r="K6" s="9">
        <f>AVERAGE(C6:I6)</f>
        <v>5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5833-457F-43BA-AFBF-23C209AC9AEA}">
  <dimension ref="B2:K22"/>
  <sheetViews>
    <sheetView workbookViewId="0">
      <selection activeCell="H10" sqref="H10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17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3</v>
      </c>
      <c r="D4" s="2">
        <v>3</v>
      </c>
      <c r="E4" s="2">
        <v>3</v>
      </c>
      <c r="F4" s="2">
        <v>3</v>
      </c>
      <c r="G4" s="2">
        <v>4</v>
      </c>
      <c r="H4" s="2">
        <v>3</v>
      </c>
      <c r="I4" s="3">
        <v>3</v>
      </c>
      <c r="K4" s="9">
        <f>AVERAGE(Table2456[[#This Row],[Column2]:[Column8]])</f>
        <v>3.1428571428571428</v>
      </c>
    </row>
    <row r="5" spans="2:11" x14ac:dyDescent="0.25">
      <c r="B5" s="10" t="s">
        <v>27</v>
      </c>
      <c r="C5" s="10">
        <v>5</v>
      </c>
      <c r="D5" s="10">
        <v>4</v>
      </c>
      <c r="E5" s="10">
        <v>4</v>
      </c>
      <c r="F5" s="10">
        <v>5</v>
      </c>
      <c r="G5" s="10">
        <v>5</v>
      </c>
      <c r="H5" s="10">
        <v>4</v>
      </c>
      <c r="I5" s="10">
        <v>4</v>
      </c>
      <c r="K5" s="9">
        <f>AVERAGE(C5:I5)</f>
        <v>4.4285714285714288</v>
      </c>
    </row>
    <row r="6" spans="2:11" x14ac:dyDescent="0.25">
      <c r="B6" s="10" t="s">
        <v>28</v>
      </c>
      <c r="C6" s="10">
        <v>4</v>
      </c>
      <c r="D6" s="10">
        <v>5</v>
      </c>
      <c r="E6" s="10">
        <v>5</v>
      </c>
      <c r="F6" s="10">
        <v>5</v>
      </c>
      <c r="G6" s="10">
        <v>5</v>
      </c>
      <c r="H6" s="10">
        <v>5</v>
      </c>
      <c r="I6" s="10">
        <v>5</v>
      </c>
      <c r="K6" s="9">
        <f>AVERAGE(C6:I6)</f>
        <v>4.8571428571428568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3A7E-0C07-4030-99A1-E6976C05A15F}">
  <dimension ref="B2:K22"/>
  <sheetViews>
    <sheetView workbookViewId="0">
      <selection activeCell="G10" sqref="G10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18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4</v>
      </c>
      <c r="D4" s="2">
        <v>3</v>
      </c>
      <c r="E4" s="2">
        <v>4</v>
      </c>
      <c r="F4" s="2">
        <v>4</v>
      </c>
      <c r="G4" s="2">
        <v>3</v>
      </c>
      <c r="H4" s="2">
        <v>4</v>
      </c>
      <c r="I4" s="3">
        <v>4</v>
      </c>
      <c r="K4" s="9">
        <f>AVERAGE(Table24567[[#This Row],[Column2]:[Column8]])</f>
        <v>3.7142857142857144</v>
      </c>
    </row>
    <row r="5" spans="2:11" x14ac:dyDescent="0.25">
      <c r="B5" s="10" t="s">
        <v>27</v>
      </c>
      <c r="C5" s="10">
        <v>5</v>
      </c>
      <c r="D5" s="10">
        <v>4</v>
      </c>
      <c r="E5" s="10">
        <v>5</v>
      </c>
      <c r="F5" s="10">
        <v>5</v>
      </c>
      <c r="G5" s="10">
        <v>4</v>
      </c>
      <c r="H5" s="10">
        <v>5</v>
      </c>
      <c r="I5" s="10">
        <v>5</v>
      </c>
      <c r="K5" s="9">
        <f>AVERAGE(C5:I5)</f>
        <v>4.7142857142857144</v>
      </c>
    </row>
    <row r="6" spans="2:11" x14ac:dyDescent="0.25">
      <c r="B6" s="10" t="s">
        <v>28</v>
      </c>
      <c r="C6" s="10">
        <v>5</v>
      </c>
      <c r="D6" s="10">
        <v>5</v>
      </c>
      <c r="E6" s="10">
        <v>5</v>
      </c>
      <c r="F6" s="10">
        <v>5</v>
      </c>
      <c r="G6" s="10">
        <v>5</v>
      </c>
      <c r="H6" s="10">
        <v>5</v>
      </c>
      <c r="I6" s="10">
        <v>5</v>
      </c>
      <c r="K6" s="9">
        <f>AVERAGE(C6:I6)</f>
        <v>5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5D33-8958-474E-A7E3-64FB31C36D86}">
  <dimension ref="B2:K22"/>
  <sheetViews>
    <sheetView workbookViewId="0">
      <selection activeCell="J21" sqref="J21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19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2</v>
      </c>
      <c r="D4" s="2">
        <v>2</v>
      </c>
      <c r="E4" s="2">
        <v>2</v>
      </c>
      <c r="F4" s="2">
        <v>3</v>
      </c>
      <c r="G4" s="2">
        <v>3</v>
      </c>
      <c r="H4" s="2">
        <v>3</v>
      </c>
      <c r="I4" s="3">
        <v>2</v>
      </c>
      <c r="K4" s="9">
        <f>AVERAGE(Table245678[[#This Row],[Column2]:[Column8]])</f>
        <v>2.4285714285714284</v>
      </c>
    </row>
    <row r="5" spans="2:11" x14ac:dyDescent="0.25">
      <c r="B5" s="10" t="s">
        <v>27</v>
      </c>
      <c r="C5" s="10">
        <v>5</v>
      </c>
      <c r="D5" s="10">
        <v>4</v>
      </c>
      <c r="E5" s="10">
        <v>3</v>
      </c>
      <c r="F5" s="10">
        <v>4</v>
      </c>
      <c r="G5" s="10">
        <v>4</v>
      </c>
      <c r="H5" s="10">
        <v>4</v>
      </c>
      <c r="I5" s="10">
        <v>3</v>
      </c>
      <c r="K5" s="9">
        <f>AVERAGE(C5:I5)</f>
        <v>3.8571428571428572</v>
      </c>
    </row>
    <row r="6" spans="2:11" x14ac:dyDescent="0.25">
      <c r="B6" s="10" t="s">
        <v>28</v>
      </c>
      <c r="C6" s="10">
        <v>5</v>
      </c>
      <c r="D6" s="10">
        <v>5</v>
      </c>
      <c r="E6" s="10">
        <v>5</v>
      </c>
      <c r="F6" s="10">
        <v>5</v>
      </c>
      <c r="G6" s="10">
        <v>5</v>
      </c>
      <c r="H6" s="10">
        <v>5</v>
      </c>
      <c r="I6" s="10">
        <v>5</v>
      </c>
      <c r="K6" s="9">
        <f>AVERAGE(C6:I6)</f>
        <v>5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248D-0228-4AAB-A4AE-DC82740E35C8}">
  <dimension ref="B2:K22"/>
  <sheetViews>
    <sheetView workbookViewId="0">
      <selection activeCell="F16" sqref="F16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20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2</v>
      </c>
      <c r="D4" s="2">
        <v>3</v>
      </c>
      <c r="E4" s="2">
        <v>2</v>
      </c>
      <c r="F4" s="2">
        <v>3</v>
      </c>
      <c r="G4" s="2">
        <v>2</v>
      </c>
      <c r="H4" s="2">
        <v>3</v>
      </c>
      <c r="I4" s="3">
        <v>2</v>
      </c>
      <c r="K4" s="9">
        <f>AVERAGE(Table2456789[[#This Row],[Column2]:[Column8]])</f>
        <v>2.4285714285714284</v>
      </c>
    </row>
    <row r="5" spans="2:11" x14ac:dyDescent="0.25">
      <c r="B5" s="10" t="s">
        <v>27</v>
      </c>
      <c r="C5" s="10">
        <v>4</v>
      </c>
      <c r="D5" s="10">
        <v>4</v>
      </c>
      <c r="E5" s="10">
        <v>3</v>
      </c>
      <c r="F5" s="10">
        <v>4</v>
      </c>
      <c r="G5" s="10">
        <v>3</v>
      </c>
      <c r="H5" s="10">
        <v>4</v>
      </c>
      <c r="I5" s="10">
        <v>4</v>
      </c>
      <c r="K5" s="9">
        <f>AVERAGE(C5:I5)</f>
        <v>3.7142857142857144</v>
      </c>
    </row>
    <row r="6" spans="2:11" x14ac:dyDescent="0.25">
      <c r="B6" s="10" t="s">
        <v>28</v>
      </c>
      <c r="C6" s="10">
        <v>4</v>
      </c>
      <c r="D6" s="10">
        <v>5</v>
      </c>
      <c r="E6" s="10">
        <v>4</v>
      </c>
      <c r="F6" s="10">
        <v>5</v>
      </c>
      <c r="G6" s="10">
        <v>5</v>
      </c>
      <c r="H6" s="10">
        <v>5</v>
      </c>
      <c r="I6" s="10">
        <v>5</v>
      </c>
      <c r="K6" s="9">
        <f>AVERAGE(C6:I6)</f>
        <v>4.7142857142857144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9D97-72B0-4C4B-9F90-076266D007B9}">
  <dimension ref="B2:K22"/>
  <sheetViews>
    <sheetView workbookViewId="0">
      <selection activeCell="I12" sqref="I12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21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3</v>
      </c>
      <c r="D4" s="2">
        <v>2</v>
      </c>
      <c r="E4" s="2">
        <v>3</v>
      </c>
      <c r="F4" s="2">
        <v>3</v>
      </c>
      <c r="G4" s="2">
        <v>3</v>
      </c>
      <c r="H4" s="2">
        <v>3</v>
      </c>
      <c r="I4" s="3">
        <v>3</v>
      </c>
      <c r="K4" s="9">
        <f>AVERAGE(Table245678910[[#This Row],[Column2]:[Column8]])</f>
        <v>2.8571428571428572</v>
      </c>
    </row>
    <row r="5" spans="2:11" x14ac:dyDescent="0.25">
      <c r="B5" s="10" t="s">
        <v>27</v>
      </c>
      <c r="C5" s="10">
        <v>4</v>
      </c>
      <c r="D5" s="10">
        <v>5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K5" s="9">
        <f>AVERAGE(C5:I5)</f>
        <v>4.1428571428571432</v>
      </c>
    </row>
    <row r="6" spans="2:11" x14ac:dyDescent="0.25">
      <c r="B6" s="10" t="s">
        <v>28</v>
      </c>
      <c r="C6" s="10">
        <v>4</v>
      </c>
      <c r="D6" s="10">
        <v>5</v>
      </c>
      <c r="E6" s="10">
        <v>4</v>
      </c>
      <c r="F6" s="10">
        <v>4</v>
      </c>
      <c r="G6" s="10">
        <v>4</v>
      </c>
      <c r="H6" s="10">
        <v>4</v>
      </c>
      <c r="I6" s="10">
        <v>4</v>
      </c>
      <c r="K6" s="9">
        <f>AVERAGE(C6:I6)</f>
        <v>4.1428571428571432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C132-1FA9-444A-A453-465C1A785282}">
  <dimension ref="B2:K22"/>
  <sheetViews>
    <sheetView workbookViewId="0">
      <selection activeCell="B4" sqref="B4:B6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22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2</v>
      </c>
      <c r="D4" s="2">
        <v>3</v>
      </c>
      <c r="E4" s="2">
        <v>3</v>
      </c>
      <c r="F4" s="2">
        <v>3</v>
      </c>
      <c r="G4" s="2">
        <v>2</v>
      </c>
      <c r="H4" s="2">
        <v>3</v>
      </c>
      <c r="I4" s="3">
        <v>3</v>
      </c>
      <c r="K4" s="9">
        <f>AVERAGE(Table24567891011[[#This Row],[Column2]:[Column8]])</f>
        <v>2.7142857142857144</v>
      </c>
    </row>
    <row r="5" spans="2:11" x14ac:dyDescent="0.25">
      <c r="B5" s="10" t="s">
        <v>27</v>
      </c>
      <c r="C5" s="10">
        <v>4</v>
      </c>
      <c r="D5" s="10">
        <v>3</v>
      </c>
      <c r="E5" s="10">
        <v>3</v>
      </c>
      <c r="F5" s="10">
        <v>4</v>
      </c>
      <c r="G5" s="10">
        <v>3</v>
      </c>
      <c r="H5" s="10">
        <v>4</v>
      </c>
      <c r="I5" s="10">
        <v>3</v>
      </c>
      <c r="K5" s="9">
        <f>AVERAGE(C5:I5)</f>
        <v>3.4285714285714284</v>
      </c>
    </row>
    <row r="6" spans="2:11" x14ac:dyDescent="0.25">
      <c r="B6" s="10" t="s">
        <v>28</v>
      </c>
      <c r="C6" s="10">
        <v>5</v>
      </c>
      <c r="D6" s="10">
        <v>4</v>
      </c>
      <c r="E6" s="10">
        <v>5</v>
      </c>
      <c r="F6" s="10">
        <v>4</v>
      </c>
      <c r="G6" s="10">
        <v>4</v>
      </c>
      <c r="H6" s="10">
        <v>4</v>
      </c>
      <c r="I6" s="10">
        <v>4</v>
      </c>
      <c r="K6" s="9">
        <f>AVERAGE(C6:I6)</f>
        <v>4.2857142857142856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69F1-FBE0-4185-AE8F-AE06383230A7}">
  <dimension ref="B2:K22"/>
  <sheetViews>
    <sheetView workbookViewId="0">
      <selection activeCell="G8" sqref="G8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23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26</v>
      </c>
      <c r="C4" s="2">
        <v>2</v>
      </c>
      <c r="D4" s="2">
        <v>3</v>
      </c>
      <c r="E4" s="2">
        <v>2</v>
      </c>
      <c r="F4" s="2">
        <v>3</v>
      </c>
      <c r="G4" s="2">
        <v>2</v>
      </c>
      <c r="H4" s="2">
        <v>3</v>
      </c>
      <c r="I4" s="3">
        <v>2</v>
      </c>
      <c r="K4" s="9">
        <f>AVERAGE(Table2456789101112[[#This Row],[Column2]:[Column8]])</f>
        <v>2.4285714285714284</v>
      </c>
    </row>
    <row r="5" spans="2:11" x14ac:dyDescent="0.25">
      <c r="B5" s="10" t="s">
        <v>27</v>
      </c>
      <c r="C5" s="10">
        <v>3</v>
      </c>
      <c r="D5" s="10">
        <v>4</v>
      </c>
      <c r="E5" s="10">
        <v>3</v>
      </c>
      <c r="F5" s="10">
        <v>3</v>
      </c>
      <c r="G5" s="10">
        <v>3</v>
      </c>
      <c r="H5" s="10">
        <v>3</v>
      </c>
      <c r="I5" s="10">
        <v>3</v>
      </c>
      <c r="K5" s="9">
        <f>AVERAGE(C5:I5)</f>
        <v>3.1428571428571428</v>
      </c>
    </row>
    <row r="6" spans="2:11" x14ac:dyDescent="0.25">
      <c r="B6" s="10" t="s">
        <v>28</v>
      </c>
      <c r="C6" s="10">
        <v>4</v>
      </c>
      <c r="D6" s="10">
        <v>5</v>
      </c>
      <c r="E6" s="10">
        <v>4</v>
      </c>
      <c r="F6" s="10">
        <v>4</v>
      </c>
      <c r="G6" s="10">
        <v>5</v>
      </c>
      <c r="H6" s="10">
        <v>4</v>
      </c>
      <c r="I6" s="10">
        <v>4</v>
      </c>
      <c r="K6" s="9">
        <f>AVERAGE(C6:I6)</f>
        <v>4.2857142857142856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3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2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5645-F3C2-465F-A902-DAD811829DAF}">
  <dimension ref="B2:K22"/>
  <sheetViews>
    <sheetView workbookViewId="0">
      <selection activeCell="H17" sqref="H17"/>
    </sheetView>
  </sheetViews>
  <sheetFormatPr defaultRowHeight="15" x14ac:dyDescent="0.25"/>
  <cols>
    <col min="1" max="1" width="6.85546875" customWidth="1"/>
    <col min="2" max="2" width="13.5703125" bestFit="1" customWidth="1"/>
    <col min="3" max="3" width="13.140625" bestFit="1" customWidth="1"/>
    <col min="4" max="4" width="18.28515625" bestFit="1" customWidth="1"/>
    <col min="5" max="5" width="12.85546875" bestFit="1" customWidth="1"/>
    <col min="6" max="6" width="14.5703125" bestFit="1" customWidth="1"/>
    <col min="7" max="7" width="25.140625" bestFit="1" customWidth="1"/>
    <col min="8" max="8" width="30.28515625" bestFit="1" customWidth="1"/>
    <col min="9" max="9" width="12" bestFit="1" customWidth="1"/>
    <col min="11" max="11" width="13.140625" bestFit="1" customWidth="1"/>
    <col min="12" max="12" width="18.28515625" bestFit="1" customWidth="1"/>
    <col min="13" max="13" width="12.85546875" bestFit="1" customWidth="1"/>
    <col min="14" max="14" width="14.5703125" bestFit="1" customWidth="1"/>
    <col min="15" max="15" width="25.140625" bestFit="1" customWidth="1"/>
    <col min="16" max="16" width="30.28515625" bestFit="1" customWidth="1"/>
    <col min="17" max="17" width="12" bestFit="1" customWidth="1"/>
  </cols>
  <sheetData>
    <row r="2" spans="2:11" x14ac:dyDescent="0.25">
      <c r="B2" s="19" t="s">
        <v>24</v>
      </c>
      <c r="C2" s="20"/>
      <c r="D2" s="21"/>
    </row>
    <row r="3" spans="2:11" x14ac:dyDescent="0.25">
      <c r="B3" s="4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6" t="s">
        <v>6</v>
      </c>
      <c r="K3" s="7" t="s">
        <v>14</v>
      </c>
    </row>
    <row r="4" spans="2:11" x14ac:dyDescent="0.25">
      <c r="B4" s="1" t="s">
        <v>29</v>
      </c>
      <c r="C4" s="2">
        <v>4</v>
      </c>
      <c r="D4" s="2">
        <v>3</v>
      </c>
      <c r="E4" s="2">
        <v>4</v>
      </c>
      <c r="F4" s="2">
        <v>4</v>
      </c>
      <c r="G4" s="2">
        <v>4</v>
      </c>
      <c r="H4" s="2">
        <v>4</v>
      </c>
      <c r="I4" s="3">
        <v>3</v>
      </c>
      <c r="K4" s="9">
        <f>AVERAGE(Table245678910111213[[#This Row],[Column2]:[Column8]])</f>
        <v>3.7142857142857144</v>
      </c>
    </row>
    <row r="5" spans="2:11" x14ac:dyDescent="0.25">
      <c r="B5" s="10" t="s">
        <v>27</v>
      </c>
      <c r="C5" s="10">
        <v>5</v>
      </c>
      <c r="D5" s="10">
        <v>5</v>
      </c>
      <c r="E5" s="10">
        <v>5</v>
      </c>
      <c r="F5" s="10">
        <v>5</v>
      </c>
      <c r="G5" s="10">
        <v>5</v>
      </c>
      <c r="H5" s="10">
        <v>5</v>
      </c>
      <c r="I5" s="10">
        <v>4</v>
      </c>
      <c r="K5" s="9">
        <f>AVERAGE(C5:I5)</f>
        <v>4.8571428571428568</v>
      </c>
    </row>
    <row r="6" spans="2:11" x14ac:dyDescent="0.25">
      <c r="B6" s="10" t="s">
        <v>28</v>
      </c>
      <c r="C6" s="10">
        <v>5</v>
      </c>
      <c r="D6" s="10">
        <v>5</v>
      </c>
      <c r="E6" s="10">
        <v>5</v>
      </c>
      <c r="F6" s="10">
        <v>5</v>
      </c>
      <c r="G6" s="10">
        <v>5</v>
      </c>
      <c r="H6" s="10">
        <v>5</v>
      </c>
      <c r="I6" s="10">
        <v>5</v>
      </c>
      <c r="K6" s="9">
        <f>AVERAGE(C6:I6)</f>
        <v>5</v>
      </c>
    </row>
    <row r="21" spans="3:9" x14ac:dyDescent="0.25">
      <c r="C21" s="7" t="s">
        <v>0</v>
      </c>
      <c r="D21" s="7" t="s">
        <v>1</v>
      </c>
      <c r="E21" s="7" t="s">
        <v>2</v>
      </c>
      <c r="F21" s="7" t="s">
        <v>3</v>
      </c>
      <c r="G21" s="7" t="s">
        <v>4</v>
      </c>
      <c r="H21" s="7" t="s">
        <v>5</v>
      </c>
      <c r="I21" s="7" t="s">
        <v>6</v>
      </c>
    </row>
    <row r="22" spans="3:9" ht="105" x14ac:dyDescent="0.25">
      <c r="C22" s="8" t="s">
        <v>25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</row>
  </sheetData>
  <mergeCells count="1">
    <mergeCell ref="B2:D2"/>
  </mergeCells>
  <conditionalFormatting sqref="C4:I4">
    <cfRule type="colorScale" priority="4">
      <colorScale>
        <cfvo type="num" val="0"/>
        <cfvo type="num" val="5"/>
        <color rgb="FFFF0000"/>
        <color rgb="FF00B050"/>
      </colorScale>
    </cfRule>
  </conditionalFormatting>
  <conditionalFormatting sqref="C5:I5">
    <cfRule type="colorScale" priority="2">
      <colorScale>
        <cfvo type="num" val="0"/>
        <cfvo type="num" val="5"/>
        <color rgb="FFFF0000"/>
        <color rgb="FF00B050"/>
      </colorScale>
    </cfRule>
  </conditionalFormatting>
  <conditionalFormatting sqref="C6:I6">
    <cfRule type="colorScale" priority="1">
      <colorScale>
        <cfvo type="num" val="0"/>
        <cfvo type="num" val="5"/>
        <color rgb="FFFF0000"/>
        <color rgb="FF00B050"/>
      </colorScale>
    </cfRule>
  </conditionalFormatting>
  <conditionalFormatting sqref="K4">
    <cfRule type="colorScale" priority="5">
      <colorScale>
        <cfvo type="num" val="0"/>
        <cfvo type="num" val="5"/>
        <color rgb="FFFF0000"/>
        <color rgb="FF00B050"/>
      </colorScale>
    </cfRule>
  </conditionalFormatting>
  <conditionalFormatting sqref="K5:K6">
    <cfRule type="colorScale" priority="3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A740-71C7-44FB-9394-9B1B40FFC99D}">
  <dimension ref="A2:L12"/>
  <sheetViews>
    <sheetView tabSelected="1" workbookViewId="0">
      <selection activeCell="J13" sqref="J13"/>
    </sheetView>
  </sheetViews>
  <sheetFormatPr defaultRowHeight="15" x14ac:dyDescent="0.25"/>
  <cols>
    <col min="1" max="1" width="13.5703125" bestFit="1" customWidth="1"/>
    <col min="2" max="2" width="20.42578125" bestFit="1" customWidth="1"/>
    <col min="3" max="3" width="15.140625" bestFit="1" customWidth="1"/>
    <col min="4" max="4" width="18.140625" bestFit="1" customWidth="1"/>
    <col min="5" max="5" width="23.140625" bestFit="1" customWidth="1"/>
    <col min="6" max="6" width="14.140625" bestFit="1" customWidth="1"/>
    <col min="7" max="7" width="23" bestFit="1" customWidth="1"/>
    <col min="8" max="8" width="18.28515625" bestFit="1" customWidth="1"/>
    <col min="9" max="9" width="25" bestFit="1" customWidth="1"/>
    <col min="10" max="10" width="18.42578125" bestFit="1" customWidth="1"/>
    <col min="11" max="11" width="21.7109375" bestFit="1" customWidth="1"/>
    <col min="12" max="12" width="21.5703125" bestFit="1" customWidth="1"/>
  </cols>
  <sheetData>
    <row r="2" spans="1:12" x14ac:dyDescent="0.25"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</row>
    <row r="3" spans="1:12" x14ac:dyDescent="0.25">
      <c r="A3" s="13" t="s">
        <v>26</v>
      </c>
      <c r="B3" s="10">
        <v>4.71</v>
      </c>
      <c r="C3" s="10">
        <v>4.71</v>
      </c>
      <c r="D3" s="10">
        <v>4.71</v>
      </c>
      <c r="E3" s="10">
        <v>4.1399999999999997</v>
      </c>
      <c r="F3" s="10">
        <v>4.71</v>
      </c>
      <c r="G3" s="10">
        <v>3.43</v>
      </c>
      <c r="H3" s="10">
        <v>3.43</v>
      </c>
      <c r="I3" s="10">
        <v>3.86</v>
      </c>
      <c r="J3" s="10">
        <v>3.71</v>
      </c>
      <c r="K3" s="10">
        <v>3.43</v>
      </c>
      <c r="L3" s="10">
        <v>4.71</v>
      </c>
    </row>
    <row r="4" spans="1:12" x14ac:dyDescent="0.25">
      <c r="A4" s="14" t="s">
        <v>27</v>
      </c>
      <c r="B4" s="9">
        <v>4.8600000000000003</v>
      </c>
      <c r="C4" s="10">
        <v>4.71</v>
      </c>
      <c r="D4" s="10">
        <v>4.57</v>
      </c>
      <c r="E4" s="10">
        <v>4.43</v>
      </c>
      <c r="F4" s="10">
        <v>4.71</v>
      </c>
      <c r="G4" s="10">
        <v>3.86</v>
      </c>
      <c r="H4" s="10">
        <v>3.71</v>
      </c>
      <c r="I4" s="10">
        <v>4.1399999999999997</v>
      </c>
      <c r="J4" s="10">
        <v>3.43</v>
      </c>
      <c r="K4" s="10">
        <v>3.14</v>
      </c>
      <c r="L4" s="10">
        <v>4.8600000000000003</v>
      </c>
    </row>
    <row r="5" spans="1:12" x14ac:dyDescent="0.25">
      <c r="A5" s="14" t="s">
        <v>28</v>
      </c>
      <c r="B5" s="9">
        <v>5</v>
      </c>
      <c r="C5" s="10">
        <v>5</v>
      </c>
      <c r="D5" s="10">
        <v>5</v>
      </c>
      <c r="E5" s="10">
        <v>4.8600000000000003</v>
      </c>
      <c r="F5" s="10">
        <v>5</v>
      </c>
      <c r="G5" s="10">
        <v>5</v>
      </c>
      <c r="H5" s="10">
        <v>4.71</v>
      </c>
      <c r="I5" s="10">
        <v>4.1399999999999997</v>
      </c>
      <c r="J5" s="10">
        <v>4.29</v>
      </c>
      <c r="K5" s="10">
        <v>4.29</v>
      </c>
      <c r="L5" s="10">
        <v>5</v>
      </c>
    </row>
    <row r="6" spans="1:12" x14ac:dyDescent="0.25">
      <c r="B6" s="11"/>
    </row>
    <row r="7" spans="1:12" x14ac:dyDescent="0.25">
      <c r="A7" s="15" t="s">
        <v>41</v>
      </c>
      <c r="B7" s="12">
        <f>AVERAGE(B3:B5)</f>
        <v>4.8566666666666665</v>
      </c>
      <c r="C7" s="12">
        <f t="shared" ref="C7:L7" si="0">AVERAGE(C3:C5)</f>
        <v>4.8066666666666666</v>
      </c>
      <c r="D7" s="12">
        <f t="shared" si="0"/>
        <v>4.7600000000000007</v>
      </c>
      <c r="E7" s="12">
        <f t="shared" si="0"/>
        <v>4.4766666666666666</v>
      </c>
      <c r="F7" s="12">
        <f t="shared" si="0"/>
        <v>4.8066666666666666</v>
      </c>
      <c r="G7" s="12">
        <f t="shared" si="0"/>
        <v>4.0966666666666667</v>
      </c>
      <c r="H7" s="12">
        <f t="shared" si="0"/>
        <v>3.9500000000000006</v>
      </c>
      <c r="I7" s="12">
        <f t="shared" si="0"/>
        <v>4.0466666666666669</v>
      </c>
      <c r="J7" s="12">
        <f t="shared" si="0"/>
        <v>3.81</v>
      </c>
      <c r="K7" s="12">
        <f t="shared" si="0"/>
        <v>3.6199999999999997</v>
      </c>
      <c r="L7" s="12">
        <f t="shared" si="0"/>
        <v>4.8566666666666665</v>
      </c>
    </row>
    <row r="8" spans="1:12" ht="15.75" x14ac:dyDescent="0.3">
      <c r="A8" s="16" t="s">
        <v>42</v>
      </c>
      <c r="B8" s="18">
        <f>ROUNDUP(IF(B7&gt;=4.7,30,26+(B7-MIN(B3:B5))*4/(4.7-MIN(B3:B5))), 0)</f>
        <v>30</v>
      </c>
      <c r="C8" s="18">
        <f t="shared" ref="C8:L8" si="1">ROUNDUP(IF(C7&gt;=4.7,30,26+(C7-MIN(C3:C5))*4/(4.7-MIN(C3:C5))), 0)</f>
        <v>30</v>
      </c>
      <c r="D8" s="18">
        <f t="shared" si="1"/>
        <v>30</v>
      </c>
      <c r="E8" s="18">
        <f t="shared" si="1"/>
        <v>29</v>
      </c>
      <c r="F8" s="18">
        <f t="shared" si="1"/>
        <v>30</v>
      </c>
      <c r="G8" s="18">
        <f t="shared" si="1"/>
        <v>29</v>
      </c>
      <c r="H8" s="18">
        <f t="shared" si="1"/>
        <v>28</v>
      </c>
      <c r="I8" s="18">
        <f>ROUNDUP(IF(I7&gt;=4.7,30,26+(I7-MIN(I3:I5))*4/(4.7-MIN(I3:I5))), 0)</f>
        <v>27</v>
      </c>
      <c r="J8" s="18">
        <f>ROUNDDOWN(IF(J7&gt;=4.7,30,26+(J7-MIN(J3:J5))*4/(4.7-MIN(J3:J5))), 0)</f>
        <v>27</v>
      </c>
      <c r="K8" s="18">
        <f>ROUNDDOWN(IF(K7&gt;=4.7,30,26+(K7-MIN(K3:K5))*4/(4.7-MIN(K3:K5))), 0)</f>
        <v>27</v>
      </c>
      <c r="L8" s="18">
        <f t="shared" si="1"/>
        <v>30</v>
      </c>
    </row>
    <row r="9" spans="1:12" x14ac:dyDescent="0.25">
      <c r="B9" s="17"/>
    </row>
    <row r="12" spans="1:12" x14ac:dyDescent="0.25">
      <c r="F12" s="17"/>
    </row>
  </sheetData>
  <conditionalFormatting sqref="B6">
    <cfRule type="colorScale" priority="1">
      <colorScale>
        <cfvo type="num" val="0"/>
        <cfvo type="num" val="5"/>
        <color rgb="FFFF00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Michele Chierchia</vt:lpstr>
      <vt:lpstr>Felicia Riccio</vt:lpstr>
      <vt:lpstr>Gloria Scarallo</vt:lpstr>
      <vt:lpstr>Alessandro Cigliano</vt:lpstr>
      <vt:lpstr>Luca Afeltra</vt:lpstr>
      <vt:lpstr>Maurizio Santangelo</vt:lpstr>
      <vt:lpstr>Giovanni Di Rosa</vt:lpstr>
      <vt:lpstr>Giovanni Pio Scardone</vt:lpstr>
      <vt:lpstr>Matteo De Stasio</vt:lpstr>
      <vt:lpstr>Vittorio Denysenko</vt:lpstr>
      <vt:lpstr>Marianna Diograzia</vt:lpstr>
      <vt:lpstr>Valutazioni Finali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GUIDA</dc:creator>
  <cp:lastModifiedBy>LUIGI GUIDA</cp:lastModifiedBy>
  <dcterms:created xsi:type="dcterms:W3CDTF">2025-10-28T21:15:35Z</dcterms:created>
  <dcterms:modified xsi:type="dcterms:W3CDTF">2025-12-15T21:08:32Z</dcterms:modified>
</cp:coreProperties>
</file>